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slicers/slicer4.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mc:AlternateContent xmlns:mc="http://schemas.openxmlformats.org/markup-compatibility/2006">
    <mc:Choice Requires="x15">
      <x15ac:absPath xmlns:x15ac="http://schemas.microsoft.com/office/spreadsheetml/2010/11/ac" url="C:\my_projects\data\Portofoilo\HR Projects\"/>
    </mc:Choice>
  </mc:AlternateContent>
  <xr:revisionPtr revIDLastSave="0" documentId="13_ncr:1_{A645469A-7654-4E50-98D2-01919FC953F4}" xr6:coauthVersionLast="47" xr6:coauthVersionMax="47" xr10:uidLastSave="{00000000-0000-0000-0000-000000000000}"/>
  <bookViews>
    <workbookView xWindow="-108" yWindow="-108" windowWidth="23256" windowHeight="12456" activeTab="3" xr2:uid="{00000000-000D-0000-FFFF-FFFF00000000}"/>
  </bookViews>
  <sheets>
    <sheet name="Meta_Data" sheetId="1" r:id="rId1"/>
    <sheet name="Pivot_Table" sheetId="5" r:id="rId2"/>
    <sheet name="OverView" sheetId="2" r:id="rId3"/>
    <sheet name=" Department" sheetId="6" r:id="rId4"/>
    <sheet name="Employee" sheetId="7" r:id="rId5"/>
  </sheets>
  <definedNames>
    <definedName name="Slicer_Department">#N/A</definedName>
    <definedName name="Slicer_JobLevel">#N/A</definedName>
    <definedName name="Slicer_JobRole">#N/A</definedName>
    <definedName name="Slicer_SalarySlab">#N/A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 cacheId="12" r:id="rId18"/>
    <pivotCache cacheId="13" r:id="rId19"/>
    <pivotCache cacheId="14" r:id="rId20"/>
    <pivotCache cacheId="15" r:id="rId21"/>
    <pivotCache cacheId="35" r:id="rId22"/>
  </pivotCaches>
  <extLst>
    <ext xmlns:x14="http://schemas.microsoft.com/office/spreadsheetml/2009/9/main" uri="{876F7934-8845-4945-9796-88D515C7AA90}">
      <x14:pivotCaches>
        <pivotCache cacheId="17" r:id="rId23"/>
      </x14:pivotCaches>
    </ext>
    <ext xmlns:x14="http://schemas.microsoft.com/office/spreadsheetml/2009/9/main" uri="{BBE1A952-AA13-448e-AADC-164F8A28A991}">
      <x14:slicerCaches>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_Analytics  2_559f3dd0-e6d7-45b8-869d-8278ecf8a3b4" name="HR_Analytics  2" connection="Query - HR_Analytics (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15" i="5" l="1"/>
  <c r="E5" i="5"/>
  <c r="C5" i="5"/>
  <c r="I5" i="5"/>
  <c r="AM8" i="5"/>
  <c r="G5" i="5"/>
  <c r="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B06470-87DE-486E-89FC-4105FC8FB755}" keepAlive="1" name="Query - HR_Analytics" description="Connection to the 'HR_Analytics' query in the workbook." type="5" refreshedVersion="8" background="1">
    <dbPr connection="Provider=Microsoft.Mashup.OleDb.1;Data Source=$Workbook$;Location=HR_Analytics;Extended Properties=&quot;&quot;" command="SELECT * FROM [HR_Analytics]"/>
  </connection>
  <connection id="2" xr16:uid="{3349A4DB-26CA-4D73-9AB8-B55DB1B28725}" name="Query - HR_Analytics (2)" description="Connection to the 'HR_Analytics (2)' query in the workbook." type="100" refreshedVersion="8" minRefreshableVersion="5" saveData="1">
    <extLst>
      <ext xmlns:x15="http://schemas.microsoft.com/office/spreadsheetml/2010/11/main" uri="{DE250136-89BD-433C-8126-D09CA5730AF9}">
        <x15:connection id="cccd9f96-a062-45b2-98e0-d2c87d16c880"/>
      </ext>
    </extLst>
  </connection>
  <connection id="3" xr16:uid="{D908BD53-C431-4665-B25C-19E4D5890CF3}" keepAlive="1" name="ThisWorkbookDataModel" description="Data Model"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<sst xmlns="http://schemas.openxmlformats.org/spreadsheetml/2006/main" count="188" uniqueCount="107">
  <si>
    <t>EmpID</t>
  </si>
  <si>
    <t>Age</t>
  </si>
  <si>
    <t>AgeGroup</t>
  </si>
  <si>
    <t>Attrition</t>
  </si>
  <si>
    <t>BusinessTravel</t>
  </si>
  <si>
    <t>DailyRate</t>
  </si>
  <si>
    <t>Department</t>
  </si>
  <si>
    <t>DistanceFromHome</t>
  </si>
  <si>
    <t>Education</t>
  </si>
  <si>
    <t>EducationField</t>
  </si>
  <si>
    <t>EmployeeCount</t>
  </si>
  <si>
    <t>EmployeeNumber</t>
  </si>
  <si>
    <t>EnvironmentSatisfaction</t>
  </si>
  <si>
    <t>Gender</t>
  </si>
  <si>
    <t>HourlyRate</t>
  </si>
  <si>
    <t>JobInvolvement</t>
  </si>
  <si>
    <t>JobLevel</t>
  </si>
  <si>
    <t>JobRole</t>
  </si>
  <si>
    <t>JobSatisfaction</t>
  </si>
  <si>
    <t>MaritalStatus</t>
  </si>
  <si>
    <t>MonthlyIncome</t>
  </si>
  <si>
    <t>SalarySlab</t>
  </si>
  <si>
    <t>MonthlyRate</t>
  </si>
  <si>
    <t>NumCompaniesWorked</t>
  </si>
  <si>
    <t>Over18</t>
  </si>
  <si>
    <t>OverTime</t>
  </si>
  <si>
    <t>PercentSalaryHike</t>
  </si>
  <si>
    <t>PerformanceRating</t>
  </si>
  <si>
    <t>RelationshipSatisfaction</t>
  </si>
  <si>
    <t>StandardHours</t>
  </si>
  <si>
    <t>StockOptionLevel</t>
  </si>
  <si>
    <t>TotalWorkingYears</t>
  </si>
  <si>
    <t>TrainingTimesLastYear</t>
  </si>
  <si>
    <t>WorkLifeBalance</t>
  </si>
  <si>
    <t>YearsAtCompany</t>
  </si>
  <si>
    <t>YearsInCurrentRole</t>
  </si>
  <si>
    <t>YearsSinceLastPromotion</t>
  </si>
  <si>
    <t>YearsWithCurrManager</t>
  </si>
  <si>
    <t>#</t>
  </si>
  <si>
    <t>Header</t>
  </si>
  <si>
    <t>المعنى بالعربي</t>
  </si>
  <si>
    <t>معرّف الموظف</t>
  </si>
  <si>
    <t>عمر الموظف</t>
  </si>
  <si>
    <t>الفئة العمرية</t>
  </si>
  <si>
    <t>هل الموظف ترك الشركة أم لا</t>
  </si>
  <si>
    <t>معدل/نوع سفر الموظف بسبب العمل</t>
  </si>
  <si>
    <t>المعدل اليومي المسجل للموظف</t>
  </si>
  <si>
    <t>القسم الذي يعمل فيه الموظف</t>
  </si>
  <si>
    <t>المسافة بين منزل الموظف والعمل</t>
  </si>
  <si>
    <t>مستوى التعليم</t>
  </si>
  <si>
    <t>مجال الدراسة/التعليم</t>
  </si>
  <si>
    <t>عدد الموظفين المسجل للصف</t>
  </si>
  <si>
    <t>الرقم التعريفي للموظف</t>
  </si>
  <si>
    <t>مدى رضا الموظف عن بيئة العمل</t>
  </si>
  <si>
    <t>جنس الموظف</t>
  </si>
  <si>
    <t>المعدل الساعي المسجل للموظف</t>
  </si>
  <si>
    <t>مدى اندماج الموظف ومشاركته في العمل</t>
  </si>
  <si>
    <t>المستوى الوظيفي للموظف</t>
  </si>
  <si>
    <t>المسمى/الدور الوظيفي للموظف</t>
  </si>
  <si>
    <t>مدى رضا الموظف عن وظيفته</t>
  </si>
  <si>
    <t>الحالة الاجتماعية</t>
  </si>
  <si>
    <t>الدخل/الراتب الشهري</t>
  </si>
  <si>
    <t>شريحة/فئة الراتب</t>
  </si>
  <si>
    <t>المعدل الشهري المسجل للموظف</t>
  </si>
  <si>
    <t>عدد الشركات التي عمل بها الموظف</t>
  </si>
  <si>
    <t>هل عمر الموظف أكبر من 18 سنة</t>
  </si>
  <si>
    <t>هل الموظف يعمل ساعات إضافية</t>
  </si>
  <si>
    <t>نسبة زيادة الراتب</t>
  </si>
  <si>
    <t>تقييم أداء الموظف</t>
  </si>
  <si>
    <t>مدى رضا الموظف عن علاقاته في العمل</t>
  </si>
  <si>
    <t>ساعات العمل القياسية</t>
  </si>
  <si>
    <t>مستوى خيارات الأسهم/الحافز المرتبط بأسهم الشركة</t>
  </si>
  <si>
    <t>إجمالي سنوات الخبرة في العمل</t>
  </si>
  <si>
    <t>عدد مرات التدريب خلال السنة الماضية</t>
  </si>
  <si>
    <t>مستوى التوازن بين العمل والحياة</t>
  </si>
  <si>
    <t>عدد السنوات التي قضاها في الشركة</t>
  </si>
  <si>
    <t>عدد السنوات في الوظيفة الحالية</t>
  </si>
  <si>
    <t>عدد السنوات منذ آخر ترقية</t>
  </si>
  <si>
    <t>عدد السنوات مع المدير الحالي</t>
  </si>
  <si>
    <t>Columns</t>
  </si>
  <si>
    <t>Rows</t>
  </si>
  <si>
    <t>TotalEmlpoyees</t>
  </si>
  <si>
    <t>AttritionRate</t>
  </si>
  <si>
    <t>Research &amp; Development</t>
  </si>
  <si>
    <t>Laboratory Technician</t>
  </si>
  <si>
    <t>Human Resources</t>
  </si>
  <si>
    <t>Sales</t>
  </si>
  <si>
    <t>Sales Representative</t>
  </si>
  <si>
    <t>Research Scientist</t>
  </si>
  <si>
    <t>Healthcare Representative</t>
  </si>
  <si>
    <t>Sales Executive</t>
  </si>
  <si>
    <t>Manufacturing Director</t>
  </si>
  <si>
    <t>Manager</t>
  </si>
  <si>
    <t>Research Director</t>
  </si>
  <si>
    <t>OverTimeRate</t>
  </si>
  <si>
    <t>SatisfactionScore</t>
  </si>
  <si>
    <t>MonthelyIncome</t>
  </si>
  <si>
    <t>Grand Total</t>
  </si>
  <si>
    <t>E</t>
  </si>
  <si>
    <t>Yes</t>
  </si>
  <si>
    <t>Sum of EmployeeNumber</t>
  </si>
  <si>
    <t>No</t>
  </si>
  <si>
    <t>Average of PerformanceRating</t>
  </si>
  <si>
    <t>Average of YearsAtCompany</t>
  </si>
  <si>
    <t>yes</t>
  </si>
  <si>
    <t>Job Level</t>
  </si>
  <si>
    <t>Stock Option 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</si>
</sst>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00%;0.00%"/>
    <numFmt numFmtId="165" formatCode="0.0%"/>
    <numFmt numFmtId="166" formatCode="0%;\-0%;0%"/>
  </numFmts>
  <fonts count="4"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s>
  <fills count="4">
    <fill>
      <patternFill patternType="none"/>
    </fill>
    <fill>
      <patternFill patternType="gray125"/>
    </fill>
    <fill>
      <patternFill patternType="solid">
        <fgColor rgb="FF00B0F0"/>
        <bgColor indexed="64"/>
      </patternFill>
    </fill>
    <fill>
      <patternFill patternType="solid">
        <fgColor rgb="FF00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0" xfId="0" applyFont="1" applyFill="1" applyAlignment="1">
      <alignment horizontal="center" vertical="center"/>
    </xf>
    <xf numFmtId="0" fontId="0" fillId="0" borderId="0" xfId="0" applyAlignment="1">
      <alignment horizontal="center" vertical="center"/>
    </xf>
    <xf numFmtId="0" fontId="3" fillId="2" borderId="1" xfId="0" applyFont="1" applyFill="1" applyBorder="1" applyAlignment="1">
      <alignment horizontal="center" vertical="center"/>
    </xf>
    <xf numFmtId="0" fontId="2" fillId="0" borderId="1" xfId="0" applyFont="1" applyBorder="1" applyAlignment="1">
      <alignment horizontal="center" vertical="center"/>
    </xf>
    <xf numFmtId="0" fontId="0" fillId="3" borderId="0" xfId="0" applyFill="1"/>
    <xf numFmtId="1" fontId="0" fillId="0" borderId="0" xfId="0" applyNumberFormat="1"/>
    <xf numFmtId="0" fontId="0" fillId="0" borderId="0" xfId="0" pivotButton="1"/>
    <xf numFmtId="0" fontId="0" fillId="0" borderId="0" xfId="0" applyNumberFormat="1"/>
    <xf numFmtId="2" fontId="0" fillId="0" borderId="0" xfId="0" applyNumberFormat="1"/>
    <xf numFmtId="164" fontId="0" fillId="0" borderId="0" xfId="0" applyNumberFormat="1"/>
    <xf numFmtId="0" fontId="0" fillId="0" borderId="0" xfId="0" applyAlignment="1">
      <alignment horizontal="left"/>
    </xf>
    <xf numFmtId="9" fontId="0" fillId="0" borderId="0" xfId="1" applyFont="1"/>
    <xf numFmtId="165" fontId="0" fillId="0" borderId="0" xfId="1" applyNumberFormat="1" applyFont="1"/>
    <xf numFmtId="10" fontId="0" fillId="0" borderId="0" xfId="1" applyNumberFormat="1" applyFont="1"/>
    <xf numFmtId="166" fontId="0" fillId="0" borderId="0" xfId="0" applyNumberFormat="1"/>
    <xf numFmtId="9" fontId="0" fillId="0" borderId="0" xfId="0" applyNumberFormat="1"/>
  </cellXfs>
  <cellStyles count="2">
    <cellStyle name="Normal" xfId="0" builtinId="0"/>
    <cellStyle name="Percent" xfId="1" builtinId="5"/>
  </cellStyles>
  <dxfs count="12">
    <dxf>
      <numFmt numFmtId="13" formatCode="0%"/>
    </dxf>
    <dxf>
      <numFmt numFmtId="13" formatCode="0%"/>
    </dxf>
    <dxf>
      <numFmt numFmtId="13" formatCode="0%"/>
    </dxf>
    <dxf>
      <numFmt numFmtId="13" formatCode="0%"/>
    </dxf>
    <dxf>
      <numFmt numFmtId="13" formatCode="0%"/>
    </dxf>
    <dxf>
      <numFmt numFmtId="13" formatCode="0%"/>
    </dxf>
    <dxf>
      <numFmt numFmtId="2" formatCode="0.00"/>
    </dxf>
    <dxf>
      <numFmt numFmtId="166" formatCode="0%;\-0%;0%"/>
    </dxf>
    <dxf>
      <font>
        <color rgb="FF9C0006"/>
      </font>
    </dxf>
    <dxf>
      <font>
        <color rgb="FF9C0006"/>
      </font>
    </dxf>
    <dxf>
      <font>
        <b val="0"/>
        <i/>
        <sz val="9"/>
        <name val="Calibri Light"/>
        <family val="2"/>
        <scheme val="major"/>
      </font>
      <fill>
        <patternFill patternType="solid">
          <bgColor rgb="FF4F535A"/>
        </patternFill>
      </fill>
      <border>
        <left style="thin">
          <color auto="1"/>
        </left>
        <right style="thin">
          <color auto="1"/>
        </right>
        <top style="thin">
          <color auto="1"/>
        </top>
        <bottom style="thin">
          <color auto="1"/>
        </bottom>
      </border>
    </dxf>
    <dxf>
      <font>
        <b val="0"/>
        <i/>
        <sz val="9"/>
        <name val="Calibri Light"/>
        <family val="2"/>
        <scheme val="major"/>
      </font>
      <fill>
        <patternFill>
          <bgColor rgb="FF1BBF72"/>
        </patternFill>
      </fill>
      <border>
        <left style="thin">
          <color auto="1"/>
        </left>
        <right style="thin">
          <color auto="1"/>
        </right>
        <top style="thin">
          <color auto="1"/>
        </top>
        <bottom style="thin">
          <color auto="1"/>
        </bottom>
      </border>
    </dxf>
  </dxfs>
  <tableStyles count="2" defaultTableStyle="TableStyleMedium2" defaultPivotStyle="PivotStyleLight16">
    <tableStyle name="Slicer Style 1" pivot="0" table="0" count="1" xr9:uid="{3C210E37-9583-43FA-ABFD-83890C5222C5}">
      <tableStyleElement type="wholeTable" dxfId="11"/>
    </tableStyle>
    <tableStyle name="Slicer Style 2" pivot="0" table="0" count="2" xr9:uid="{E4E7E9C3-3F57-4E3E-8142-A8E56CE1B835}">
      <tableStyleElement type="wholeTable" dxfId="10"/>
    </tableStyle>
  </tableStyles>
  <colors>
    <mruColors>
      <color rgb="FFF29D35"/>
      <color rgb="FF53AFC5"/>
      <color rgb="FFF22727"/>
      <color rgb="FF4F535A"/>
      <color rgb="FF4C4F58"/>
      <color rgb="FF1BBF72"/>
      <color rgb="FFF2F2F2"/>
      <color rgb="FF303030"/>
      <color rgb="FF000000"/>
    </mruColors>
  </colors>
  <extLst>
    <ext xmlns:x14="http://schemas.microsoft.com/office/spreadsheetml/2009/9/main" uri="{46F421CA-312F-682f-3DD2-61675219B42D}">
      <x14:dxfs count="1">
        <dxf>
          <font>
            <b val="0"/>
            <i/>
            <sz val="9"/>
            <name val="Calibri"/>
            <family val="2"/>
            <scheme val="minor"/>
          </font>
          <fill>
            <patternFill>
              <bgColor rgb="FF1BBF7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microsoft.com/office/2007/relationships/slicerCache" Target="slicerCaches/slicerCache3.xml"/><Relationship Id="rId39" Type="http://schemas.openxmlformats.org/officeDocument/2006/relationships/customXml" Target="../customXml/item1.xml"/><Relationship Id="rId21" Type="http://schemas.openxmlformats.org/officeDocument/2006/relationships/pivotCacheDefinition" Target="pivotCache/pivotCacheDefinition16.xml"/><Relationship Id="rId34" Type="http://schemas.microsoft.com/office/2017/06/relationships/rdRichValue" Target="richData/rdrichvalue.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microsoft.com/office/2007/relationships/slicerCache" Target="slicerCaches/slicerCache2.xml"/><Relationship Id="rId33" Type="http://schemas.microsoft.com/office/2022/10/relationships/richValueRel" Target="richData/richValueRel.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openxmlformats.org/officeDocument/2006/relationships/pivotCacheDefinition" Target="pivotCache/pivotCacheDefinition15.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microsoft.com/office/2007/relationships/slicerCache" Target="slicerCaches/slicerCache1.xml"/><Relationship Id="rId32" Type="http://schemas.openxmlformats.org/officeDocument/2006/relationships/sheetMetadata" Target="metadata.xml"/><Relationship Id="rId37" Type="http://schemas.openxmlformats.org/officeDocument/2006/relationships/powerPivotData" Target="model/item.data"/><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theme" Target="theme/theme1.xml"/><Relationship Id="rId36" Type="http://schemas.microsoft.com/office/2017/06/relationships/rdRichValueTypes" Target="richData/rdRichValueTypes.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microsoft.com/office/2007/relationships/slicerCache" Target="slicerCaches/slicerCache4.xml"/><Relationship Id="rId30" Type="http://schemas.openxmlformats.org/officeDocument/2006/relationships/styles" Target="styles.xml"/><Relationship Id="rId35" Type="http://schemas.microsoft.com/office/2017/06/relationships/rdRichValueStructure" Target="richData/rdrichvaluestructure.xml"/><Relationship Id="rId8" Type="http://schemas.openxmlformats.org/officeDocument/2006/relationships/pivotCacheDefinition" Target="pivotCache/pivotCacheDefinition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noFill/>
              <a:latin typeface="+mn-lt"/>
              <a:ea typeface="+mn-ea"/>
              <a:cs typeface="+mn-cs"/>
            </a:defRPr>
          </a:pPr>
          <a:endParaRPr lang="en-US"/>
        </a:p>
      </c:txPr>
    </c:title>
    <c:autoTitleDeleted val="0"/>
    <c:plotArea>
      <c:layout>
        <c:manualLayout>
          <c:layoutTarget val="inner"/>
          <c:xMode val="edge"/>
          <c:yMode val="edge"/>
          <c:x val="6.2519930335810839E-2"/>
          <c:y val="0.39013665507164119"/>
          <c:w val="0.42747602978199162"/>
          <c:h val="0.52365770697366565"/>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36-4554-9093-77586C08161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1336-4554-9093-77586C081617}"/>
              </c:ext>
            </c:extLst>
          </c:dPt>
          <c:val>
            <c:numRef>
              <c:f>Pivot_Table!$C$5:$C$6</c:f>
              <c:numCache>
                <c:formatCode>0.0%</c:formatCode>
                <c:ptCount val="2"/>
                <c:pt idx="0" formatCode="0.00%">
                  <c:v>0.16081081081081081</c:v>
                </c:pt>
                <c:pt idx="1">
                  <c:v>1</c:v>
                </c:pt>
              </c:numCache>
            </c:numRef>
          </c:val>
          <c:extLst>
            <c:ext xmlns:c16="http://schemas.microsoft.com/office/drawing/2014/chart" uri="{C3380CC4-5D6E-409C-BE32-E72D297353CC}">
              <c16:uniqueId val="{00000004-1336-4554-9093-77586C08161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a:softEdge rad="1270000"/>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048567646992845"/>
          <c:y val="0.1939056851384143"/>
          <c:w val="0.40287467191601051"/>
          <c:h val="0.6714577865266842"/>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AC5-40EF-80D0-1EC01E5F12A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AC5-40EF-80D0-1EC01E5F12AE}"/>
              </c:ext>
            </c:extLst>
          </c:dPt>
          <c:val>
            <c:numRef>
              <c:f>Pivot_Table!$E$5:$E$6</c:f>
              <c:numCache>
                <c:formatCode>0%</c:formatCode>
                <c:ptCount val="2"/>
                <c:pt idx="0" formatCode="0.00%">
                  <c:v>0.28243243243243243</c:v>
                </c:pt>
                <c:pt idx="1">
                  <c:v>1</c:v>
                </c:pt>
              </c:numCache>
            </c:numRef>
          </c:val>
          <c:extLst>
            <c:ext xmlns:c16="http://schemas.microsoft.com/office/drawing/2014/chart" uri="{C3380CC4-5D6E-409C-BE32-E72D297353CC}">
              <c16:uniqueId val="{00000004-8AC5-40EF-80D0-1EC01E5F12AE}"/>
            </c:ext>
          </c:extLst>
        </c:ser>
        <c:dLbls>
          <c:showLegendKey val="0"/>
          <c:showVal val="0"/>
          <c:showCatName val="0"/>
          <c:showSerName val="0"/>
          <c:showPercent val="0"/>
          <c:showBubbleSize val="0"/>
          <c:showLeaderLines val="1"/>
        </c:dLbls>
        <c:firstSliceAng val="0"/>
        <c:holeSize val="75"/>
      </c:doughnutChart>
      <c:spPr>
        <a:noFill/>
        <a:ln>
          <a:noFill/>
        </a:ln>
        <a:effectLst>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[Dashboard.xlsm]Pivot_Table!Att By JobRole</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2F2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Pivot_Table!$L$1</c:f>
              <c:strCache>
                <c:ptCount val="1"/>
                <c:pt idx="0">
                  <c:v>Total</c:v>
                </c:pt>
              </c:strCache>
            </c:strRef>
          </c:tx>
          <c:spPr>
            <a:solidFill>
              <a:srgbClr val="F2F2F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Pivot_Table!$K$2:$K$11</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Pivot_Table!$L$2:$L$11</c:f>
              <c:numCache>
                <c:formatCode>0%;\-0%;0%</c:formatCode>
                <c:ptCount val="9"/>
                <c:pt idx="0">
                  <c:v>6.8181818181818177E-2</c:v>
                </c:pt>
                <c:pt idx="1">
                  <c:v>0.23076923076923078</c:v>
                </c:pt>
                <c:pt idx="2">
                  <c:v>0.23754789272030652</c:v>
                </c:pt>
                <c:pt idx="3">
                  <c:v>4.9019607843137254E-2</c:v>
                </c:pt>
                <c:pt idx="4">
                  <c:v>6.8027210884353748E-2</c:v>
                </c:pt>
                <c:pt idx="5">
                  <c:v>2.5000000000000001E-2</c:v>
                </c:pt>
                <c:pt idx="6">
                  <c:v>0.16040955631399317</c:v>
                </c:pt>
                <c:pt idx="7">
                  <c:v>0.17629179331306991</c:v>
                </c:pt>
                <c:pt idx="8">
                  <c:v>0.39285714285714285</c:v>
                </c:pt>
              </c:numCache>
            </c:numRef>
          </c:val>
          <c:extLst>
            <c:ext xmlns:c16="http://schemas.microsoft.com/office/drawing/2014/chart" uri="{C3380CC4-5D6E-409C-BE32-E72D297353CC}">
              <c16:uniqueId val="{00000000-0398-4D08-B18D-FB7067DBB088}"/>
            </c:ext>
          </c:extLst>
        </c:ser>
        <c:dLbls>
          <c:dLblPos val="outEnd"/>
          <c:showLegendKey val="0"/>
          <c:showVal val="1"/>
          <c:showCatName val="0"/>
          <c:showSerName val="0"/>
          <c:showPercent val="0"/>
          <c:showBubbleSize val="0"/>
        </c:dLbls>
        <c:gapWidth val="80"/>
        <c:axId val="1879841391"/>
        <c:axId val="1879844751"/>
      </c:barChart>
      <c:catAx>
        <c:axId val="187984139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79844751"/>
        <c:crosses val="autoZero"/>
        <c:auto val="1"/>
        <c:lblAlgn val="ctr"/>
        <c:lblOffset val="100"/>
        <c:noMultiLvlLbl val="0"/>
      </c:catAx>
      <c:valAx>
        <c:axId val="1879844751"/>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79841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[Dashboard.xlsm]Pivot_Table!Dept By Income</c:name>
    <c:fmtId val="14"/>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spPr>
          <a:solidFill>
            <a:schemeClr val="accent2"/>
          </a:solidFill>
          <a:ln w="19050">
            <a:solidFill>
              <a:schemeClr val="lt1"/>
            </a:solidFill>
          </a:ln>
          <a:effectLst/>
        </c:spPr>
        <c:dLbl>
          <c:idx val="0"/>
          <c:layout>
            <c:manualLayout>
              <c:x val="0.12161100227304124"/>
              <c:y val="-0.2039274924471299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layout>
                <c:manualLayout>
                  <c:w val="0.24047049441786281"/>
                  <c:h val="0.21117824773413899"/>
                </c:manualLayout>
              </c15:layout>
            </c:ext>
          </c:extLst>
        </c:dLbl>
      </c:pivotFmt>
      <c:pivotFmt>
        <c:idx val="7"/>
        <c:spPr>
          <a:solidFill>
            <a:schemeClr val="accent2"/>
          </a:solidFill>
          <a:ln w="19050">
            <a:solidFill>
              <a:schemeClr val="lt1"/>
            </a:solidFill>
          </a:ln>
          <a:effectLst/>
        </c:spPr>
        <c:dLbl>
          <c:idx val="0"/>
          <c:layout>
            <c:manualLayout>
              <c:x val="-0.38581829484233132"/>
              <c:y val="-5.035444965149841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layout>
                <c:manualLayout>
                  <c:w val="0.22242273543558252"/>
                  <c:h val="0.29166686490472676"/>
                </c:manualLayout>
              </c15:layout>
            </c:ext>
          </c:extLst>
        </c:dLbl>
      </c:pivotFmt>
      <c:pivotFmt>
        <c:idx val="8"/>
        <c:spPr>
          <a:solidFill>
            <a:schemeClr val="accent2"/>
          </a:solidFill>
          <a:ln w="19050">
            <a:solidFill>
              <a:schemeClr val="lt1"/>
            </a:solidFill>
          </a:ln>
          <a:effectLst/>
        </c:spPr>
        <c:dLbl>
          <c:idx val="0"/>
          <c:layout>
            <c:manualLayout>
              <c:x val="-0.11961722488038277"/>
              <c:y val="-0.1837863073007112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layout>
                <c:manualLayout>
                  <c:w val="0.22850877192982455"/>
                  <c:h val="0.18607774103765731"/>
                </c:manualLayout>
              </c15:layout>
            </c:ext>
          </c:extLst>
        </c:dLbl>
      </c:pivotFmt>
    </c:pivotFmts>
    <c:plotArea>
      <c:layout/>
      <c:doughnutChart>
        <c:varyColors val="1"/>
        <c:ser>
          <c:idx val="0"/>
          <c:order val="0"/>
          <c:tx>
            <c:strRef>
              <c:f>Pivot_Table!$O$1</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6821-41B7-A365-D9A0A3DC2319}"/>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6821-41B7-A365-D9A0A3DC2319}"/>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6821-41B7-A365-D9A0A3DC2319}"/>
              </c:ext>
            </c:extLst>
          </c:dPt>
          <c:dLbls>
            <c:dLbl>
              <c:idx val="0"/>
              <c:layout>
                <c:manualLayout>
                  <c:x val="0.12161100227304124"/>
                  <c:y val="-0.2039274924471299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layout>
                    <c:manualLayout>
                      <c:w val="0.24047049441786281"/>
                      <c:h val="0.21117824773413899"/>
                    </c:manualLayout>
                  </c15:layout>
                </c:ext>
                <c:ext xmlns:c16="http://schemas.microsoft.com/office/drawing/2014/chart" uri="{C3380CC4-5D6E-409C-BE32-E72D297353CC}">
                  <c16:uniqueId val="{00000001-6821-41B7-A365-D9A0A3DC2319}"/>
                </c:ext>
              </c:extLst>
            </c:dLbl>
            <c:dLbl>
              <c:idx val="1"/>
              <c:layout>
                <c:manualLayout>
                  <c:x val="-0.38581829484233132"/>
                  <c:y val="-5.0354449651498412E-3"/>
                </c:manualLayout>
              </c:layout>
              <c:showLegendKey val="0"/>
              <c:showVal val="0"/>
              <c:showCatName val="1"/>
              <c:showSerName val="0"/>
              <c:showPercent val="1"/>
              <c:showBubbleSize val="0"/>
              <c:separator>
</c:separator>
              <c:extLst>
                <c:ext xmlns:c15="http://schemas.microsoft.com/office/drawing/2012/chart" uri="{CE6537A1-D6FC-4f65-9D91-7224C49458BB}">
                  <c15:layout>
                    <c:manualLayout>
                      <c:w val="0.22242273543558252"/>
                      <c:h val="0.29166686490472676"/>
                    </c:manualLayout>
                  </c15:layout>
                </c:ext>
                <c:ext xmlns:c16="http://schemas.microsoft.com/office/drawing/2014/chart" uri="{C3380CC4-5D6E-409C-BE32-E72D297353CC}">
                  <c16:uniqueId val="{00000003-6821-41B7-A365-D9A0A3DC2319}"/>
                </c:ext>
              </c:extLst>
            </c:dLbl>
            <c:dLbl>
              <c:idx val="2"/>
              <c:layout>
                <c:manualLayout>
                  <c:x val="-0.11961722488038277"/>
                  <c:y val="-0.1837863073007112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layout>
                    <c:manualLayout>
                      <c:w val="0.22850877192982455"/>
                      <c:h val="0.18607774103765731"/>
                    </c:manualLayout>
                  </c15:layout>
                </c:ext>
                <c:ext xmlns:c16="http://schemas.microsoft.com/office/drawing/2014/chart" uri="{C3380CC4-5D6E-409C-BE32-E72D297353CC}">
                  <c16:uniqueId val="{00000005-6821-41B7-A365-D9A0A3DC231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Pivot_Table!$N$2:$N$5</c:f>
              <c:strCache>
                <c:ptCount val="3"/>
                <c:pt idx="0">
                  <c:v>Human Resources</c:v>
                </c:pt>
                <c:pt idx="1">
                  <c:v>Research &amp; Development</c:v>
                </c:pt>
                <c:pt idx="2">
                  <c:v>Sales</c:v>
                </c:pt>
              </c:strCache>
            </c:strRef>
          </c:cat>
          <c:val>
            <c:numRef>
              <c:f>Pivot_Table!$O$2:$O$5</c:f>
              <c:numCache>
                <c:formatCode>General</c:formatCode>
                <c:ptCount val="3"/>
                <c:pt idx="0">
                  <c:v>6654.5079365079364</c:v>
                </c:pt>
                <c:pt idx="1">
                  <c:v>6280.3650465356777</c:v>
                </c:pt>
                <c:pt idx="2">
                  <c:v>6966.7377777777774</c:v>
                </c:pt>
              </c:numCache>
            </c:numRef>
          </c:val>
          <c:extLst>
            <c:ext xmlns:c16="http://schemas.microsoft.com/office/drawing/2014/chart" uri="{C3380CC4-5D6E-409C-BE32-E72D297353CC}">
              <c16:uniqueId val="{00000006-6821-41B7-A365-D9A0A3DC2319}"/>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[Dashboard.xlsm]Pivot_Table!Satisfaction By Dept</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Pivot_Table!$U$1</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Pivot_Table!$T$2:$T$5</c:f>
              <c:strCache>
                <c:ptCount val="3"/>
                <c:pt idx="0">
                  <c:v>Human Resources</c:v>
                </c:pt>
                <c:pt idx="1">
                  <c:v>Research &amp; Development</c:v>
                </c:pt>
                <c:pt idx="2">
                  <c:v>Sales</c:v>
                </c:pt>
              </c:strCache>
            </c:strRef>
          </c:cat>
          <c:val>
            <c:numRef>
              <c:f>Pivot_Table!$U$2:$U$5</c:f>
              <c:numCache>
                <c:formatCode>0.00</c:formatCode>
                <c:ptCount val="3"/>
                <c:pt idx="0">
                  <c:v>2.7738095238095237</c:v>
                </c:pt>
                <c:pt idx="1">
                  <c:v>2.7238883143743537</c:v>
                </c:pt>
                <c:pt idx="2">
                  <c:v>2.7361111111111112</c:v>
                </c:pt>
              </c:numCache>
            </c:numRef>
          </c:val>
          <c:extLst>
            <c:ext xmlns:c16="http://schemas.microsoft.com/office/drawing/2014/chart" uri="{C3380CC4-5D6E-409C-BE32-E72D297353CC}">
              <c16:uniqueId val="{00000000-3775-4EEB-A0C2-EAA10AB21CD9}"/>
            </c:ext>
          </c:extLst>
        </c:ser>
        <c:dLbls>
          <c:dLblPos val="outEnd"/>
          <c:showLegendKey val="0"/>
          <c:showVal val="1"/>
          <c:showCatName val="0"/>
          <c:showSerName val="0"/>
          <c:showPercent val="0"/>
          <c:showBubbleSize val="0"/>
        </c:dLbls>
        <c:gapWidth val="219"/>
        <c:overlap val="-27"/>
        <c:axId val="1055322016"/>
        <c:axId val="1055315776"/>
      </c:barChart>
      <c:catAx>
        <c:axId val="1055322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55315776"/>
        <c:crosses val="autoZero"/>
        <c:auto val="1"/>
        <c:lblAlgn val="ctr"/>
        <c:lblOffset val="100"/>
        <c:noMultiLvlLbl val="0"/>
      </c:catAx>
      <c:valAx>
        <c:axId val="1055315776"/>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55322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[Dashboard.xlsm]Pivot_Table!EmployNum By Dept</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Pivot_Table!$Y$2</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Pivot_Table!$X$3:$X$6</c:f>
              <c:strCache>
                <c:ptCount val="3"/>
                <c:pt idx="0">
                  <c:v>Human Resources</c:v>
                </c:pt>
                <c:pt idx="1">
                  <c:v>Research &amp; Development</c:v>
                </c:pt>
                <c:pt idx="2">
                  <c:v>Sales</c:v>
                </c:pt>
              </c:strCache>
            </c:strRef>
          </c:cat>
          <c:val>
            <c:numRef>
              <c:f>Pivot_Table!$Y$3:$Y$6</c:f>
              <c:numCache>
                <c:formatCode>General</c:formatCode>
                <c:ptCount val="3"/>
                <c:pt idx="0">
                  <c:v>75932</c:v>
                </c:pt>
                <c:pt idx="1">
                  <c:v>979616</c:v>
                </c:pt>
                <c:pt idx="2">
                  <c:v>471606</c:v>
                </c:pt>
              </c:numCache>
            </c:numRef>
          </c:val>
          <c:extLst>
            <c:ext xmlns:c16="http://schemas.microsoft.com/office/drawing/2014/chart" uri="{C3380CC4-5D6E-409C-BE32-E72D297353CC}">
              <c16:uniqueId val="{00000000-9E03-4D42-B5CF-710BB28A2619}"/>
            </c:ext>
          </c:extLst>
        </c:ser>
        <c:dLbls>
          <c:dLblPos val="outEnd"/>
          <c:showLegendKey val="0"/>
          <c:showVal val="1"/>
          <c:showCatName val="0"/>
          <c:showSerName val="0"/>
          <c:showPercent val="0"/>
          <c:showBubbleSize val="0"/>
        </c:dLbls>
        <c:gapWidth val="182"/>
        <c:axId val="1055315776"/>
        <c:axId val="1055306656"/>
      </c:barChart>
      <c:catAx>
        <c:axId val="105531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55306656"/>
        <c:crosses val="autoZero"/>
        <c:auto val="1"/>
        <c:lblAlgn val="ctr"/>
        <c:lblOffset val="100"/>
        <c:noMultiLvlLbl val="0"/>
      </c:catAx>
      <c:valAx>
        <c:axId val="10553066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55315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[Dashboard.xlsm]Pivot_Table!PivotTable2</c:name>
    <c:fmtId val="1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solidFill>
          <a:ln w="19050">
            <a:solidFill>
              <a:schemeClr val="lt1"/>
            </a:solidFill>
          </a:ln>
          <a:effectLst/>
        </c:spPr>
      </c:pivotFmt>
      <c:pivotFmt>
        <c:idx val="7"/>
        <c:spPr>
          <a:solidFill>
            <a:srgbClr val="F29D35"/>
          </a:solidFill>
          <a:ln w="19050">
            <a:solidFill>
              <a:schemeClr val="lt1"/>
            </a:solidFill>
          </a:ln>
          <a:effectLst/>
        </c:spPr>
      </c:pivotFmt>
      <c:pivotFmt>
        <c:idx val="8"/>
        <c:spPr>
          <a:solidFill>
            <a:srgbClr val="FF0000"/>
          </a:solidFill>
          <a:ln w="19050">
            <a:solidFill>
              <a:schemeClr val="lt1"/>
            </a:solidFill>
          </a:ln>
          <a:effectLst/>
        </c:spPr>
      </c:pivotFmt>
    </c:pivotFmts>
    <c:plotArea>
      <c:layout/>
      <c:pieChart>
        <c:varyColors val="1"/>
        <c:ser>
          <c:idx val="0"/>
          <c:order val="0"/>
          <c:tx>
            <c:strRef>
              <c:f>Pivot_Table!$AB$4</c:f>
              <c:strCache>
                <c:ptCount val="1"/>
                <c:pt idx="0">
                  <c:v>Total</c:v>
                </c:pt>
              </c:strCache>
            </c:strRef>
          </c:tx>
          <c:dPt>
            <c:idx val="0"/>
            <c:bubble3D val="0"/>
            <c:spPr>
              <a:solidFill>
                <a:srgbClr val="00B0F0"/>
              </a:solidFill>
              <a:ln w="19050">
                <a:solidFill>
                  <a:schemeClr val="lt1"/>
                </a:solidFill>
              </a:ln>
              <a:effectLst/>
            </c:spPr>
            <c:extLst>
              <c:ext xmlns:c16="http://schemas.microsoft.com/office/drawing/2014/chart" uri="{C3380CC4-5D6E-409C-BE32-E72D297353CC}">
                <c16:uniqueId val="{00000001-6F9B-4657-A5C2-6E6B3D573C18}"/>
              </c:ext>
            </c:extLst>
          </c:dPt>
          <c:dPt>
            <c:idx val="1"/>
            <c:bubble3D val="0"/>
            <c:spPr>
              <a:solidFill>
                <a:srgbClr val="F29D35"/>
              </a:solidFill>
              <a:ln w="19050">
                <a:solidFill>
                  <a:schemeClr val="lt1"/>
                </a:solidFill>
              </a:ln>
              <a:effectLst/>
            </c:spPr>
            <c:extLst>
              <c:ext xmlns:c16="http://schemas.microsoft.com/office/drawing/2014/chart" uri="{C3380CC4-5D6E-409C-BE32-E72D297353CC}">
                <c16:uniqueId val="{00000003-6F9B-4657-A5C2-6E6B3D573C18}"/>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6F9B-4657-A5C2-6E6B3D573C1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Pivot_Table!$AA$5:$AA$8</c:f>
              <c:strCache>
                <c:ptCount val="3"/>
                <c:pt idx="0">
                  <c:v>Human Resources</c:v>
                </c:pt>
                <c:pt idx="1">
                  <c:v>Research &amp; Development</c:v>
                </c:pt>
                <c:pt idx="2">
                  <c:v>Sales</c:v>
                </c:pt>
              </c:strCache>
            </c:strRef>
          </c:cat>
          <c:val>
            <c:numRef>
              <c:f>Pivot_Table!$AB$5:$AB$8</c:f>
              <c:numCache>
                <c:formatCode>0.00%;\-0.00%;0.00%</c:formatCode>
                <c:ptCount val="3"/>
                <c:pt idx="0">
                  <c:v>0.19047619047619047</c:v>
                </c:pt>
                <c:pt idx="1">
                  <c:v>0.13753877973112719</c:v>
                </c:pt>
                <c:pt idx="2">
                  <c:v>0.20666666666666667</c:v>
                </c:pt>
              </c:numCache>
            </c:numRef>
          </c:val>
          <c:extLst>
            <c:ext xmlns:c16="http://schemas.microsoft.com/office/drawing/2014/chart" uri="{C3380CC4-5D6E-409C-BE32-E72D297353CC}">
              <c16:uniqueId val="{00000006-6F9B-4657-A5C2-6E6B3D573C1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[Dashboard.xlsm]Pivot_Table!PivotTable4</c:name>
    <c:fmtId val="3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Pivot_Table!$AI$4</c:f>
              <c:strCache>
                <c:ptCount val="1"/>
                <c:pt idx="0">
                  <c:v>OverTimeRate</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Pivot_Table!$AH$5:$AH$8</c:f>
              <c:strCache>
                <c:ptCount val="3"/>
                <c:pt idx="0">
                  <c:v>Human Resources</c:v>
                </c:pt>
                <c:pt idx="1">
                  <c:v>Research &amp; Development</c:v>
                </c:pt>
                <c:pt idx="2">
                  <c:v>Sales</c:v>
                </c:pt>
              </c:strCache>
            </c:strRef>
          </c:cat>
          <c:val>
            <c:numRef>
              <c:f>Pivot_Table!$AI$5:$AI$8</c:f>
              <c:numCache>
                <c:formatCode>0.00%;\-0.00%;0.00%</c:formatCode>
                <c:ptCount val="3"/>
                <c:pt idx="0">
                  <c:v>0.26984126984126983</c:v>
                </c:pt>
                <c:pt idx="1">
                  <c:v>0.28128231644260598</c:v>
                </c:pt>
                <c:pt idx="2">
                  <c:v>0.28666666666666668</c:v>
                </c:pt>
              </c:numCache>
            </c:numRef>
          </c:val>
          <c:extLst>
            <c:ext xmlns:c16="http://schemas.microsoft.com/office/drawing/2014/chart" uri="{C3380CC4-5D6E-409C-BE32-E72D297353CC}">
              <c16:uniqueId val="{00000000-FCBA-4BAA-A6D4-2231103BAEF3}"/>
            </c:ext>
          </c:extLst>
        </c:ser>
        <c:dLbls>
          <c:showLegendKey val="0"/>
          <c:showVal val="1"/>
          <c:showCatName val="0"/>
          <c:showSerName val="0"/>
          <c:showPercent val="0"/>
          <c:showBubbleSize val="0"/>
        </c:dLbls>
        <c:gapWidth val="219"/>
        <c:overlap val="-27"/>
        <c:axId val="432856048"/>
        <c:axId val="432868528"/>
      </c:barChart>
      <c:lineChart>
        <c:grouping val="standard"/>
        <c:varyColors val="0"/>
        <c:ser>
          <c:idx val="1"/>
          <c:order val="1"/>
          <c:tx>
            <c:strRef>
              <c:f>Pivot_Table!$AJ$4</c:f>
              <c:strCache>
                <c:ptCount val="1"/>
                <c:pt idx="0">
                  <c:v>AttritionRate</c:v>
                </c:pt>
              </c:strCache>
            </c:strRef>
          </c:tx>
          <c:spPr>
            <a:ln w="28575" cap="rnd">
              <a:solidFill>
                <a:srgbClr val="00B0F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Pivot_Table!$AH$5:$AH$8</c:f>
              <c:strCache>
                <c:ptCount val="3"/>
                <c:pt idx="0">
                  <c:v>Human Resources</c:v>
                </c:pt>
                <c:pt idx="1">
                  <c:v>Research &amp; Development</c:v>
                </c:pt>
                <c:pt idx="2">
                  <c:v>Sales</c:v>
                </c:pt>
              </c:strCache>
            </c:strRef>
          </c:cat>
          <c:val>
            <c:numRef>
              <c:f>Pivot_Table!$AJ$5:$AJ$8</c:f>
              <c:numCache>
                <c:formatCode>0.00%;\-0.00%;0.00%</c:formatCode>
                <c:ptCount val="3"/>
                <c:pt idx="0">
                  <c:v>0.19047619047619047</c:v>
                </c:pt>
                <c:pt idx="1">
                  <c:v>0.13753877973112719</c:v>
                </c:pt>
                <c:pt idx="2">
                  <c:v>0.20666666666666667</c:v>
                </c:pt>
              </c:numCache>
            </c:numRef>
          </c:val>
          <c:smooth val="0"/>
          <c:extLst>
            <c:ext xmlns:c16="http://schemas.microsoft.com/office/drawing/2014/chart" uri="{C3380CC4-5D6E-409C-BE32-E72D297353CC}">
              <c16:uniqueId val="{00000001-FCBA-4BAA-A6D4-2231103BAEF3}"/>
            </c:ext>
          </c:extLst>
        </c:ser>
        <c:dLbls>
          <c:showLegendKey val="0"/>
          <c:showVal val="1"/>
          <c:showCatName val="0"/>
          <c:showSerName val="0"/>
          <c:showPercent val="0"/>
          <c:showBubbleSize val="0"/>
        </c:dLbls>
        <c:marker val="1"/>
        <c:smooth val="0"/>
        <c:axId val="432856048"/>
        <c:axId val="432868528"/>
      </c:lineChart>
      <c:catAx>
        <c:axId val="432856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432868528"/>
        <c:crosses val="autoZero"/>
        <c:auto val="1"/>
        <c:lblAlgn val="ctr"/>
        <c:lblOffset val="100"/>
        <c:noMultiLvlLbl val="0"/>
      </c:catAx>
      <c:valAx>
        <c:axId val="432868528"/>
        <c:scaling>
          <c:orientation val="minMax"/>
        </c:scaling>
        <c:delete val="0"/>
        <c:axPos val="l"/>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43285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[Dashboard.xlsm]Pivot_Table!PivotTable7</c:name>
    <c:fmtId val="4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Pivot_Table!$AS$3</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Pivot_Table!$AR$4:$AR$9</c:f>
              <c:strCache>
                <c:ptCount val="5"/>
                <c:pt idx="0">
                  <c:v>1</c:v>
                </c:pt>
                <c:pt idx="1">
                  <c:v>2</c:v>
                </c:pt>
                <c:pt idx="2">
                  <c:v>3</c:v>
                </c:pt>
                <c:pt idx="3">
                  <c:v>4</c:v>
                </c:pt>
                <c:pt idx="4">
                  <c:v>5</c:v>
                </c:pt>
              </c:strCache>
            </c:strRef>
          </c:cat>
          <c:val>
            <c:numRef>
              <c:f>Pivot_Table!$AS$4:$AS$9</c:f>
              <c:numCache>
                <c:formatCode>0%</c:formatCode>
                <c:ptCount val="5"/>
                <c:pt idx="0">
                  <c:v>0.26238532110091745</c:v>
                </c:pt>
                <c:pt idx="1">
                  <c:v>9.6474953617810763E-2</c:v>
                </c:pt>
                <c:pt idx="2">
                  <c:v>0.15</c:v>
                </c:pt>
                <c:pt idx="3">
                  <c:v>4.6728971962616821E-2</c:v>
                </c:pt>
                <c:pt idx="4">
                  <c:v>7.2463768115942032E-2</c:v>
                </c:pt>
              </c:numCache>
            </c:numRef>
          </c:val>
          <c:extLst>
            <c:ext xmlns:c16="http://schemas.microsoft.com/office/drawing/2014/chart" uri="{C3380CC4-5D6E-409C-BE32-E72D297353CC}">
              <c16:uniqueId val="{00000000-05B9-43D9-B77F-1784071F2653}"/>
            </c:ext>
          </c:extLst>
        </c:ser>
        <c:dLbls>
          <c:dLblPos val="outEnd"/>
          <c:showLegendKey val="0"/>
          <c:showVal val="1"/>
          <c:showCatName val="0"/>
          <c:showSerName val="0"/>
          <c:showPercent val="0"/>
          <c:showBubbleSize val="0"/>
        </c:dLbls>
        <c:gapWidth val="182"/>
        <c:axId val="1055330656"/>
        <c:axId val="1055331616"/>
      </c:barChart>
      <c:catAx>
        <c:axId val="10553306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55331616"/>
        <c:crosses val="autoZero"/>
        <c:auto val="1"/>
        <c:lblAlgn val="ctr"/>
        <c:lblOffset val="100"/>
        <c:noMultiLvlLbl val="0"/>
      </c:catAx>
      <c:valAx>
        <c:axId val="1055331616"/>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55330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[Dashboard.xlsm]Pivot_Table!PivotTable6</c:name>
    <c:fmtId val="3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F0"/>
          </a:solidFill>
          <a:ln w="19050">
            <a:solidFill>
              <a:schemeClr val="lt1"/>
            </a:solidFill>
          </a:ln>
          <a:effectLst/>
        </c:spPr>
      </c:pivotFmt>
      <c:pivotFmt>
        <c:idx val="8"/>
        <c:spPr>
          <a:solidFill>
            <a:srgbClr val="F29D35"/>
          </a:solidFill>
          <a:ln w="19050">
            <a:solidFill>
              <a:schemeClr val="lt1"/>
            </a:solidFill>
          </a:ln>
          <a:effectLst/>
        </c:spPr>
      </c:pivotFmt>
      <c:pivotFmt>
        <c:idx val="9"/>
        <c:spPr>
          <a:solidFill>
            <a:srgbClr val="00B050"/>
          </a:solidFill>
          <a:ln w="19050">
            <a:solidFill>
              <a:schemeClr val="lt1"/>
            </a:solidFill>
          </a:ln>
          <a:effectLst/>
        </c:spPr>
      </c:pivotFmt>
      <c:pivotFmt>
        <c:idx val="10"/>
        <c:spPr>
          <a:solidFill>
            <a:srgbClr val="FF0000"/>
          </a:solidFill>
          <a:ln w="19050">
            <a:solidFill>
              <a:schemeClr val="lt1"/>
            </a:solidFill>
          </a:ln>
          <a:effectLst/>
        </c:spPr>
      </c:pivotFmt>
    </c:pivotFmts>
    <c:plotArea>
      <c:layout/>
      <c:doughnutChart>
        <c:varyColors val="1"/>
        <c:ser>
          <c:idx val="0"/>
          <c:order val="0"/>
          <c:tx>
            <c:strRef>
              <c:f>Pivot_Table!$AP$3</c:f>
              <c:strCache>
                <c:ptCount val="1"/>
                <c:pt idx="0">
                  <c:v>Total</c:v>
                </c:pt>
              </c:strCache>
            </c:strRef>
          </c:tx>
          <c:dPt>
            <c:idx val="0"/>
            <c:bubble3D val="0"/>
            <c:spPr>
              <a:solidFill>
                <a:srgbClr val="00B0F0"/>
              </a:solidFill>
              <a:ln w="19050">
                <a:solidFill>
                  <a:schemeClr val="lt1"/>
                </a:solidFill>
              </a:ln>
              <a:effectLst/>
            </c:spPr>
            <c:extLst>
              <c:ext xmlns:c16="http://schemas.microsoft.com/office/drawing/2014/chart" uri="{C3380CC4-5D6E-409C-BE32-E72D297353CC}">
                <c16:uniqueId val="{00000001-2612-484A-9E30-163495ECE889}"/>
              </c:ext>
            </c:extLst>
          </c:dPt>
          <c:dPt>
            <c:idx val="1"/>
            <c:bubble3D val="0"/>
            <c:spPr>
              <a:solidFill>
                <a:srgbClr val="F29D35"/>
              </a:solidFill>
              <a:ln w="19050">
                <a:solidFill>
                  <a:schemeClr val="lt1"/>
                </a:solidFill>
              </a:ln>
              <a:effectLst/>
            </c:spPr>
            <c:extLst>
              <c:ext xmlns:c16="http://schemas.microsoft.com/office/drawing/2014/chart" uri="{C3380CC4-5D6E-409C-BE32-E72D297353CC}">
                <c16:uniqueId val="{00000003-2612-484A-9E30-163495ECE889}"/>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2612-484A-9E30-163495ECE889}"/>
              </c:ext>
            </c:extLst>
          </c:dPt>
          <c:dPt>
            <c:idx val="3"/>
            <c:bubble3D val="0"/>
            <c:spPr>
              <a:solidFill>
                <a:srgbClr val="FF0000"/>
              </a:solidFill>
              <a:ln w="19050">
                <a:solidFill>
                  <a:schemeClr val="lt1"/>
                </a:solidFill>
              </a:ln>
              <a:effectLst/>
            </c:spPr>
            <c:extLst>
              <c:ext xmlns:c16="http://schemas.microsoft.com/office/drawing/2014/chart" uri="{C3380CC4-5D6E-409C-BE32-E72D297353CC}">
                <c16:uniqueId val="{00000007-2612-484A-9E30-163495ECE88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Pivot_Table!$AO$4:$AO$8</c:f>
              <c:strCache>
                <c:ptCount val="4"/>
                <c:pt idx="0">
                  <c:v>0</c:v>
                </c:pt>
                <c:pt idx="1">
                  <c:v>1</c:v>
                </c:pt>
                <c:pt idx="2">
                  <c:v>2</c:v>
                </c:pt>
                <c:pt idx="3">
                  <c:v>3</c:v>
                </c:pt>
              </c:strCache>
            </c:strRef>
          </c:cat>
          <c:val>
            <c:numRef>
              <c:f>Pivot_Table!$AP$4:$AP$8</c:f>
              <c:numCache>
                <c:formatCode>0%</c:formatCode>
                <c:ptCount val="4"/>
                <c:pt idx="0">
                  <c:v>0.24213836477987422</c:v>
                </c:pt>
                <c:pt idx="1">
                  <c:v>9.4841930116472545E-2</c:v>
                </c:pt>
                <c:pt idx="2">
                  <c:v>7.5949367088607597E-2</c:v>
                </c:pt>
                <c:pt idx="3">
                  <c:v>0.17647058823529413</c:v>
                </c:pt>
              </c:numCache>
            </c:numRef>
          </c:val>
          <c:extLst>
            <c:ext xmlns:c16="http://schemas.microsoft.com/office/drawing/2014/chart" uri="{C3380CC4-5D6E-409C-BE32-E72D297353CC}">
              <c16:uniqueId val="{00000008-2612-484A-9E30-163495ECE88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[Dashboard.xlsm]Pivot_Table!PivotTable8</c:name>
    <c:fmtId val="5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Pivot_Table!$AV$3</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Pivot_Table!$AU$4:$AU$6</c:f>
              <c:strCache>
                <c:ptCount val="2"/>
                <c:pt idx="0">
                  <c:v>No</c:v>
                </c:pt>
                <c:pt idx="1">
                  <c:v>Yes</c:v>
                </c:pt>
              </c:strCache>
            </c:strRef>
          </c:cat>
          <c:val>
            <c:numRef>
              <c:f>Pivot_Table!$AV$4:$AV$6</c:f>
              <c:numCache>
                <c:formatCode>0%</c:formatCode>
                <c:ptCount val="2"/>
                <c:pt idx="0">
                  <c:v>0.10357815442561205</c:v>
                </c:pt>
                <c:pt idx="1">
                  <c:v>0.30622009569377989</c:v>
                </c:pt>
              </c:numCache>
            </c:numRef>
          </c:val>
          <c:extLst>
            <c:ext xmlns:c16="http://schemas.microsoft.com/office/drawing/2014/chart" uri="{C3380CC4-5D6E-409C-BE32-E72D297353CC}">
              <c16:uniqueId val="{00000000-C0D3-4B9A-9314-B794F32EAD61}"/>
            </c:ext>
          </c:extLst>
        </c:ser>
        <c:dLbls>
          <c:dLblPos val="outEnd"/>
          <c:showLegendKey val="0"/>
          <c:showVal val="1"/>
          <c:showCatName val="0"/>
          <c:showSerName val="0"/>
          <c:showPercent val="0"/>
          <c:showBubbleSize val="0"/>
        </c:dLbls>
        <c:gapWidth val="219"/>
        <c:overlap val="-27"/>
        <c:axId val="360464768"/>
        <c:axId val="360468128"/>
      </c:barChart>
      <c:catAx>
        <c:axId val="360464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360468128"/>
        <c:crosses val="autoZero"/>
        <c:auto val="1"/>
        <c:lblAlgn val="ctr"/>
        <c:lblOffset val="100"/>
        <c:noMultiLvlLbl val="0"/>
      </c:catAx>
      <c:valAx>
        <c:axId val="360468128"/>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360464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Employee!A1"/><Relationship Id="rId7" Type="http://schemas.openxmlformats.org/officeDocument/2006/relationships/chart" Target="../charts/chart1.xml"/><Relationship Id="rId12"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hyperlink" Target="#OverView!A1"/><Relationship Id="rId6" Type="http://schemas.openxmlformats.org/officeDocument/2006/relationships/image" Target="../media/image4.png"/><Relationship Id="rId11" Type="http://schemas.openxmlformats.org/officeDocument/2006/relationships/chart" Target="../charts/chart4.xml"/><Relationship Id="rId5" Type="http://schemas.openxmlformats.org/officeDocument/2006/relationships/image" Target="../media/image3.png"/><Relationship Id="rId10" Type="http://schemas.openxmlformats.org/officeDocument/2006/relationships/chart" Target="../charts/chart3.xml"/><Relationship Id="rId4" Type="http://schemas.openxmlformats.org/officeDocument/2006/relationships/hyperlink" Target="#' Department'!A1"/><Relationship Id="rId9" Type="http://schemas.openxmlformats.org/officeDocument/2006/relationships/chart" Target="../charts/chart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hyperlink" Target="#Employee!A1"/><Relationship Id="rId7" Type="http://schemas.openxmlformats.org/officeDocument/2006/relationships/image" Target="../media/image5.emf"/><Relationship Id="rId2" Type="http://schemas.openxmlformats.org/officeDocument/2006/relationships/image" Target="../media/image2.png"/><Relationship Id="rId1" Type="http://schemas.openxmlformats.org/officeDocument/2006/relationships/hyperlink" Target="#OverView!A1"/><Relationship Id="rId6" Type="http://schemas.openxmlformats.org/officeDocument/2006/relationships/image" Target="../media/image4.png"/><Relationship Id="rId11" Type="http://schemas.openxmlformats.org/officeDocument/2006/relationships/chart" Target="../charts/chart8.xml"/><Relationship Id="rId5" Type="http://schemas.openxmlformats.org/officeDocument/2006/relationships/image" Target="../media/image3.png"/><Relationship Id="rId10" Type="http://schemas.openxmlformats.org/officeDocument/2006/relationships/chart" Target="../charts/chart7.xml"/><Relationship Id="rId4" Type="http://schemas.openxmlformats.org/officeDocument/2006/relationships/hyperlink" Target="#' Department'!A1"/><Relationship Id="rId9" Type="http://schemas.openxmlformats.org/officeDocument/2006/relationships/chart" Target="../charts/chart6.xm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hyperlink" Target="#Employee!A1"/><Relationship Id="rId7" Type="http://schemas.openxmlformats.org/officeDocument/2006/relationships/image" Target="../media/image7.png"/><Relationship Id="rId12" Type="http://schemas.openxmlformats.org/officeDocument/2006/relationships/chart" Target="../charts/chart11.xml"/><Relationship Id="rId2" Type="http://schemas.openxmlformats.org/officeDocument/2006/relationships/image" Target="../media/image2.png"/><Relationship Id="rId1" Type="http://schemas.openxmlformats.org/officeDocument/2006/relationships/hyperlink" Target="#OverView!A1"/><Relationship Id="rId6" Type="http://schemas.openxmlformats.org/officeDocument/2006/relationships/image" Target="../media/image4.png"/><Relationship Id="rId11" Type="http://schemas.openxmlformats.org/officeDocument/2006/relationships/chart" Target="../charts/chart10.xml"/><Relationship Id="rId5" Type="http://schemas.openxmlformats.org/officeDocument/2006/relationships/image" Target="../media/image3.png"/><Relationship Id="rId10" Type="http://schemas.openxmlformats.org/officeDocument/2006/relationships/chart" Target="../charts/chart9.xml"/><Relationship Id="rId4" Type="http://schemas.openxmlformats.org/officeDocument/2006/relationships/hyperlink" Target="#' Department'!A1"/><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20</xdr:col>
      <xdr:colOff>876300</xdr:colOff>
      <xdr:row>19</xdr:row>
      <xdr:rowOff>15240</xdr:rowOff>
    </xdr:from>
    <xdr:to>
      <xdr:col>23</xdr:col>
      <xdr:colOff>419100</xdr:colOff>
      <xdr:row>32</xdr:row>
      <xdr:rowOff>104775</xdr:rowOff>
    </xdr:to>
    <mc:AlternateContent xmlns:mc="http://schemas.openxmlformats.org/markup-compatibility/2006" xmlns:a14="http://schemas.microsoft.com/office/drawing/2010/main">
      <mc:Choice Requires="a14">
        <xdr:graphicFrame macro="">
          <xdr:nvGraphicFramePr>
            <xdr:cNvPr id="11" name="JobRole">
              <a:extLst>
                <a:ext uri="{FF2B5EF4-FFF2-40B4-BE49-F238E27FC236}">
                  <a16:creationId xmlns:a16="http://schemas.microsoft.com/office/drawing/2014/main" id="{7D42AD91-7020-E08C-DAAE-CF23061F7795}"/>
                </a:ext>
              </a:extLst>
            </xdr:cNvPr>
            <xdr:cNvGraphicFramePr/>
          </xdr:nvGraphicFramePr>
          <xdr:xfrm>
            <a:off x="0" y="0"/>
            <a:ext cx="0" cy="0"/>
          </xdr:xfrm>
          <a:graphic>
            <a:graphicData uri="http://schemas.microsoft.com/office/drawing/2010/slicer">
              <sle:slicer xmlns:sle="http://schemas.microsoft.com/office/drawing/2010/slicer" name="JobRole"/>
            </a:graphicData>
          </a:graphic>
        </xdr:graphicFrame>
      </mc:Choice>
      <mc:Fallback xmlns="">
        <xdr:sp macro="" textlink="">
          <xdr:nvSpPr>
            <xdr:cNvPr id="0" name=""/>
            <xdr:cNvSpPr>
              <a:spLocks noTextEdit="1"/>
            </xdr:cNvSpPr>
          </xdr:nvSpPr>
          <xdr:spPr>
            <a:xfrm>
              <a:off x="19484340" y="34899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563880</xdr:colOff>
      <xdr:row>19</xdr:row>
      <xdr:rowOff>45720</xdr:rowOff>
    </xdr:from>
    <xdr:to>
      <xdr:col>28</xdr:col>
      <xdr:colOff>83820</xdr:colOff>
      <xdr:row>32</xdr:row>
      <xdr:rowOff>135255</xdr:rowOff>
    </xdr:to>
    <mc:AlternateContent xmlns:mc="http://schemas.openxmlformats.org/markup-compatibility/2006" xmlns:a14="http://schemas.microsoft.com/office/drawing/2010/main">
      <mc:Choice Requires="a14">
        <xdr:graphicFrame macro="">
          <xdr:nvGraphicFramePr>
            <xdr:cNvPr id="12" name="JobLevel">
              <a:extLst>
                <a:ext uri="{FF2B5EF4-FFF2-40B4-BE49-F238E27FC236}">
                  <a16:creationId xmlns:a16="http://schemas.microsoft.com/office/drawing/2014/main" id="{695A5288-6B23-2532-50B3-06DD1FC193F4}"/>
                </a:ext>
              </a:extLst>
            </xdr:cNvPr>
            <xdr:cNvGraphicFramePr/>
          </xdr:nvGraphicFramePr>
          <xdr:xfrm>
            <a:off x="0" y="0"/>
            <a:ext cx="0" cy="0"/>
          </xdr:xfrm>
          <a:graphic>
            <a:graphicData uri="http://schemas.microsoft.com/office/drawing/2010/slicer">
              <sle:slicer xmlns:sle="http://schemas.microsoft.com/office/drawing/2010/slicer" name="JobLevel"/>
            </a:graphicData>
          </a:graphic>
        </xdr:graphicFrame>
      </mc:Choice>
      <mc:Fallback xmlns="">
        <xdr:sp macro="" textlink="">
          <xdr:nvSpPr>
            <xdr:cNvPr id="0" name=""/>
            <xdr:cNvSpPr>
              <a:spLocks noTextEdit="1"/>
            </xdr:cNvSpPr>
          </xdr:nvSpPr>
          <xdr:spPr>
            <a:xfrm>
              <a:off x="26113740" y="35204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358140</xdr:colOff>
      <xdr:row>19</xdr:row>
      <xdr:rowOff>30480</xdr:rowOff>
    </xdr:from>
    <xdr:to>
      <xdr:col>24</xdr:col>
      <xdr:colOff>685800</xdr:colOff>
      <xdr:row>32</xdr:row>
      <xdr:rowOff>120015</xdr:rowOff>
    </xdr:to>
    <mc:AlternateContent xmlns:mc="http://schemas.openxmlformats.org/markup-compatibility/2006" xmlns:a14="http://schemas.microsoft.com/office/drawing/2010/main">
      <mc:Choice Requires="a14">
        <xdr:graphicFrame macro="">
          <xdr:nvGraphicFramePr>
            <xdr:cNvPr id="13" name="SalarySlab 1">
              <a:extLst>
                <a:ext uri="{FF2B5EF4-FFF2-40B4-BE49-F238E27FC236}">
                  <a16:creationId xmlns:a16="http://schemas.microsoft.com/office/drawing/2014/main" id="{1147D0AE-CBC8-4D0E-9175-663C35D4BB5B}"/>
                </a:ext>
              </a:extLst>
            </xdr:cNvPr>
            <xdr:cNvGraphicFramePr/>
          </xdr:nvGraphicFramePr>
          <xdr:xfrm>
            <a:off x="0" y="0"/>
            <a:ext cx="0" cy="0"/>
          </xdr:xfrm>
          <a:graphic>
            <a:graphicData uri="http://schemas.microsoft.com/office/drawing/2010/slicer">
              <sle:slicer xmlns:sle="http://schemas.microsoft.com/office/drawing/2010/slicer" name="SalarySlab 1"/>
            </a:graphicData>
          </a:graphic>
        </xdr:graphicFrame>
      </mc:Choice>
      <mc:Fallback xmlns="">
        <xdr:sp macro="" textlink="">
          <xdr:nvSpPr>
            <xdr:cNvPr id="0" name=""/>
            <xdr:cNvSpPr>
              <a:spLocks noTextEdit="1"/>
            </xdr:cNvSpPr>
          </xdr:nvSpPr>
          <xdr:spPr>
            <a:xfrm>
              <a:off x="21252180" y="35052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472440</xdr:colOff>
      <xdr:row>19</xdr:row>
      <xdr:rowOff>0</xdr:rowOff>
    </xdr:from>
    <xdr:to>
      <xdr:col>20</xdr:col>
      <xdr:colOff>800100</xdr:colOff>
      <xdr:row>32</xdr:row>
      <xdr:rowOff>89535</xdr:rowOff>
    </xdr:to>
    <mc:AlternateContent xmlns:mc="http://schemas.openxmlformats.org/markup-compatibility/2006" xmlns:a14="http://schemas.microsoft.com/office/drawing/2010/main">
      <mc:Choice Requires="a14">
        <xdr:graphicFrame macro="">
          <xdr:nvGraphicFramePr>
            <xdr:cNvPr id="14" name="Department 1">
              <a:extLst>
                <a:ext uri="{FF2B5EF4-FFF2-40B4-BE49-F238E27FC236}">
                  <a16:creationId xmlns:a16="http://schemas.microsoft.com/office/drawing/2014/main" id="{1B17A5A3-2AAA-4DAA-9453-17DB5C24D117}"/>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7579340" y="34747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2</xdr:row>
      <xdr:rowOff>137160</xdr:rowOff>
    </xdr:from>
    <xdr:to>
      <xdr:col>22</xdr:col>
      <xdr:colOff>449580</xdr:colOff>
      <xdr:row>27</xdr:row>
      <xdr:rowOff>45720</xdr:rowOff>
    </xdr:to>
    <xdr:sp macro="" textlink="">
      <xdr:nvSpPr>
        <xdr:cNvPr id="2" name="Rectangle 1">
          <a:extLst>
            <a:ext uri="{FF2B5EF4-FFF2-40B4-BE49-F238E27FC236}">
              <a16:creationId xmlns:a16="http://schemas.microsoft.com/office/drawing/2014/main" id="{C5CC1025-3415-6D50-B2BC-20BB6F7D53BC}"/>
            </a:ext>
          </a:extLst>
        </xdr:cNvPr>
        <xdr:cNvSpPr/>
      </xdr:nvSpPr>
      <xdr:spPr>
        <a:xfrm>
          <a:off x="647700" y="502920"/>
          <a:ext cx="13213080" cy="4480560"/>
        </a:xfrm>
        <a:prstGeom prst="rect">
          <a:avLst/>
        </a:prstGeom>
        <a:solidFill>
          <a:srgbClr val="303030"/>
        </a:solidFill>
        <a:ln>
          <a:solidFill>
            <a:srgbClr val="303030"/>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53340</xdr:colOff>
      <xdr:row>2</xdr:row>
      <xdr:rowOff>144780</xdr:rowOff>
    </xdr:from>
    <xdr:to>
      <xdr:col>22</xdr:col>
      <xdr:colOff>487680</xdr:colOff>
      <xdr:row>7</xdr:row>
      <xdr:rowOff>144780</xdr:rowOff>
    </xdr:to>
    <xdr:sp macro="" textlink="">
      <xdr:nvSpPr>
        <xdr:cNvPr id="6" name="Rectangle: Rounded Corners 5">
          <a:extLst>
            <a:ext uri="{FF2B5EF4-FFF2-40B4-BE49-F238E27FC236}">
              <a16:creationId xmlns:a16="http://schemas.microsoft.com/office/drawing/2014/main" id="{17655C36-3303-201D-A11E-CD59072952CE}"/>
            </a:ext>
          </a:extLst>
        </xdr:cNvPr>
        <xdr:cNvSpPr/>
      </xdr:nvSpPr>
      <xdr:spPr>
        <a:xfrm>
          <a:off x="662940" y="510540"/>
          <a:ext cx="13235940" cy="9144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495300</xdr:colOff>
      <xdr:row>2</xdr:row>
      <xdr:rowOff>160020</xdr:rowOff>
    </xdr:from>
    <xdr:to>
      <xdr:col>8</xdr:col>
      <xdr:colOff>99060</xdr:colOff>
      <xdr:row>7</xdr:row>
      <xdr:rowOff>38100</xdr:rowOff>
    </xdr:to>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893B63-85D7-4F4D-33AD-3E75F1EFD331}"/>
            </a:ext>
          </a:extLst>
        </xdr:cNvPr>
        <xdr:cNvSpPr/>
      </xdr:nvSpPr>
      <xdr:spPr>
        <a:xfrm>
          <a:off x="2933700" y="525780"/>
          <a:ext cx="2042160" cy="792480"/>
        </a:xfrm>
        <a:prstGeom prst="roundRect">
          <a:avLst/>
        </a:prstGeom>
        <a:solidFill>
          <a:srgbClr val="F29D3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i="1"/>
            <a:t>OverView</a:t>
          </a:r>
        </a:p>
      </xdr:txBody>
    </xdr:sp>
    <xdr:clientData/>
  </xdr:twoCellAnchor>
  <xdr:twoCellAnchor editAs="oneCell">
    <xdr:from>
      <xdr:col>6</xdr:col>
      <xdr:colOff>38101</xdr:colOff>
      <xdr:row>2</xdr:row>
      <xdr:rowOff>160020</xdr:rowOff>
    </xdr:from>
    <xdr:to>
      <xdr:col>6</xdr:col>
      <xdr:colOff>541020</xdr:colOff>
      <xdr:row>5</xdr:row>
      <xdr:rowOff>114299</xdr:rowOff>
    </xdr:to>
    <xdr:pic>
      <xdr:nvPicPr>
        <xdr:cNvPr id="9" name="Picture 8">
          <a:extLst>
            <a:ext uri="{FF2B5EF4-FFF2-40B4-BE49-F238E27FC236}">
              <a16:creationId xmlns:a16="http://schemas.microsoft.com/office/drawing/2014/main" id="{AB86BE68-194C-6A88-355A-A1C1D1B4266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95701" y="525780"/>
          <a:ext cx="502919" cy="502919"/>
        </a:xfrm>
        <a:prstGeom prst="rect">
          <a:avLst/>
        </a:prstGeom>
      </xdr:spPr>
    </xdr:pic>
    <xdr:clientData/>
  </xdr:twoCellAnchor>
  <xdr:twoCellAnchor>
    <xdr:from>
      <xdr:col>16</xdr:col>
      <xdr:colOff>68580</xdr:colOff>
      <xdr:row>2</xdr:row>
      <xdr:rowOff>160020</xdr:rowOff>
    </xdr:from>
    <xdr:to>
      <xdr:col>19</xdr:col>
      <xdr:colOff>281940</xdr:colOff>
      <xdr:row>7</xdr:row>
      <xdr:rowOff>38100</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3740E14B-0210-4EA1-B20A-D4DC30B3BA58}"/>
            </a:ext>
          </a:extLst>
        </xdr:cNvPr>
        <xdr:cNvSpPr/>
      </xdr:nvSpPr>
      <xdr:spPr>
        <a:xfrm>
          <a:off x="9822180" y="525780"/>
          <a:ext cx="2042160" cy="79248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i="1"/>
            <a:t>Employee</a:t>
          </a:r>
        </a:p>
      </xdr:txBody>
    </xdr:sp>
    <xdr:clientData/>
  </xdr:twoCellAnchor>
  <xdr:twoCellAnchor>
    <xdr:from>
      <xdr:col>10</xdr:col>
      <xdr:colOff>281940</xdr:colOff>
      <xdr:row>2</xdr:row>
      <xdr:rowOff>160020</xdr:rowOff>
    </xdr:from>
    <xdr:to>
      <xdr:col>13</xdr:col>
      <xdr:colOff>495300</xdr:colOff>
      <xdr:row>7</xdr:row>
      <xdr:rowOff>38100</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A86E9F58-B851-4EB6-929F-8F6DCF3A101D}"/>
            </a:ext>
          </a:extLst>
        </xdr:cNvPr>
        <xdr:cNvSpPr/>
      </xdr:nvSpPr>
      <xdr:spPr>
        <a:xfrm>
          <a:off x="6377940" y="525780"/>
          <a:ext cx="2042160" cy="79248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i="1"/>
            <a:t>Department</a:t>
          </a:r>
        </a:p>
      </xdr:txBody>
    </xdr:sp>
    <xdr:clientData/>
  </xdr:twoCellAnchor>
  <xdr:twoCellAnchor editAs="oneCell">
    <xdr:from>
      <xdr:col>17</xdr:col>
      <xdr:colOff>160020</xdr:colOff>
      <xdr:row>2</xdr:row>
      <xdr:rowOff>160020</xdr:rowOff>
    </xdr:from>
    <xdr:to>
      <xdr:col>18</xdr:col>
      <xdr:colOff>179091</xdr:colOff>
      <xdr:row>6</xdr:row>
      <xdr:rowOff>57171</xdr:rowOff>
    </xdr:to>
    <xdr:pic>
      <xdr:nvPicPr>
        <xdr:cNvPr id="14" name="Picture 13">
          <a:hlinkClick xmlns:r="http://schemas.openxmlformats.org/officeDocument/2006/relationships" r:id="rId3"/>
          <a:extLst>
            <a:ext uri="{FF2B5EF4-FFF2-40B4-BE49-F238E27FC236}">
              <a16:creationId xmlns:a16="http://schemas.microsoft.com/office/drawing/2014/main" id="{6BE6C348-7310-5295-2D55-8FA1DF01D5B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523220" y="525780"/>
          <a:ext cx="628671" cy="628671"/>
        </a:xfrm>
        <a:prstGeom prst="rect">
          <a:avLst/>
        </a:prstGeom>
      </xdr:spPr>
    </xdr:pic>
    <xdr:clientData/>
  </xdr:twoCellAnchor>
  <xdr:twoCellAnchor editAs="oneCell">
    <xdr:from>
      <xdr:col>11</xdr:col>
      <xdr:colOff>424320</xdr:colOff>
      <xdr:row>2</xdr:row>
      <xdr:rowOff>160020</xdr:rowOff>
    </xdr:from>
    <xdr:to>
      <xdr:col>12</xdr:col>
      <xdr:colOff>342900</xdr:colOff>
      <xdr:row>5</xdr:row>
      <xdr:rowOff>139560</xdr:rowOff>
    </xdr:to>
    <xdr:pic>
      <xdr:nvPicPr>
        <xdr:cNvPr id="16" name="Picture 15">
          <a:extLst>
            <a:ext uri="{FF2B5EF4-FFF2-40B4-BE49-F238E27FC236}">
              <a16:creationId xmlns:a16="http://schemas.microsoft.com/office/drawing/2014/main" id="{D14F5279-9D55-746B-6933-A7B5042CD1A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129920" y="525780"/>
          <a:ext cx="528180" cy="528180"/>
        </a:xfrm>
        <a:prstGeom prst="rect">
          <a:avLst/>
        </a:prstGeom>
      </xdr:spPr>
    </xdr:pic>
    <xdr:clientData/>
  </xdr:twoCellAnchor>
  <xdr:twoCellAnchor>
    <xdr:from>
      <xdr:col>1</xdr:col>
      <xdr:colOff>68580</xdr:colOff>
      <xdr:row>7</xdr:row>
      <xdr:rowOff>7620</xdr:rowOff>
    </xdr:from>
    <xdr:to>
      <xdr:col>22</xdr:col>
      <xdr:colOff>457200</xdr:colOff>
      <xdr:row>8</xdr:row>
      <xdr:rowOff>0</xdr:rowOff>
    </xdr:to>
    <xdr:sp macro="" textlink="">
      <xdr:nvSpPr>
        <xdr:cNvPr id="17" name="Rectangle: Rounded Corners 16">
          <a:extLst>
            <a:ext uri="{FF2B5EF4-FFF2-40B4-BE49-F238E27FC236}">
              <a16:creationId xmlns:a16="http://schemas.microsoft.com/office/drawing/2014/main" id="{6B51A0C2-382A-A8F3-A190-76ACABB8FBA9}"/>
            </a:ext>
          </a:extLst>
        </xdr:cNvPr>
        <xdr:cNvSpPr/>
      </xdr:nvSpPr>
      <xdr:spPr>
        <a:xfrm>
          <a:off x="678180" y="1287780"/>
          <a:ext cx="13190220" cy="175260"/>
        </a:xfrm>
        <a:prstGeom prst="roundRect">
          <a:avLst/>
        </a:prstGeom>
        <a:solidFill>
          <a:srgbClr val="F29D35"/>
        </a:solidFill>
        <a:ln>
          <a:solidFill>
            <a:srgbClr val="F29D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99060</xdr:colOff>
      <xdr:row>9</xdr:row>
      <xdr:rowOff>68580</xdr:rowOff>
    </xdr:from>
    <xdr:to>
      <xdr:col>4</xdr:col>
      <xdr:colOff>449580</xdr:colOff>
      <xdr:row>14</xdr:row>
      <xdr:rowOff>30480</xdr:rowOff>
    </xdr:to>
    <xdr:sp macro="" textlink="">
      <xdr:nvSpPr>
        <xdr:cNvPr id="18" name="Rectangle: Rounded Corners 17">
          <a:extLst>
            <a:ext uri="{FF2B5EF4-FFF2-40B4-BE49-F238E27FC236}">
              <a16:creationId xmlns:a16="http://schemas.microsoft.com/office/drawing/2014/main" id="{98C46780-D357-5DEB-C315-27806767186E}"/>
            </a:ext>
          </a:extLst>
        </xdr:cNvPr>
        <xdr:cNvSpPr/>
      </xdr:nvSpPr>
      <xdr:spPr>
        <a:xfrm>
          <a:off x="708660" y="1714500"/>
          <a:ext cx="2179320" cy="8763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i="1">
              <a:solidFill>
                <a:schemeClr val="bg1"/>
              </a:solidFill>
            </a:rPr>
            <a:t>Attration</a:t>
          </a:r>
          <a:r>
            <a:rPr lang="en-US" sz="1200" b="1" i="1" baseline="0">
              <a:solidFill>
                <a:schemeClr val="bg1"/>
              </a:solidFill>
            </a:rPr>
            <a:t> Rate</a:t>
          </a:r>
          <a:endParaRPr lang="en-US" sz="1200" b="1" i="1">
            <a:solidFill>
              <a:schemeClr val="bg1"/>
            </a:solidFill>
          </a:endParaRPr>
        </a:p>
      </xdr:txBody>
    </xdr:sp>
    <xdr:clientData/>
  </xdr:twoCellAnchor>
  <xdr:twoCellAnchor>
    <xdr:from>
      <xdr:col>4</xdr:col>
      <xdr:colOff>563880</xdr:colOff>
      <xdr:row>8</xdr:row>
      <xdr:rowOff>99060</xdr:rowOff>
    </xdr:from>
    <xdr:to>
      <xdr:col>10</xdr:col>
      <xdr:colOff>403860</xdr:colOff>
      <xdr:row>25</xdr:row>
      <xdr:rowOff>53340</xdr:rowOff>
    </xdr:to>
    <xdr:sp macro="" textlink="">
      <xdr:nvSpPr>
        <xdr:cNvPr id="20" name="Rectangle: Rounded Corners 19">
          <a:extLst>
            <a:ext uri="{FF2B5EF4-FFF2-40B4-BE49-F238E27FC236}">
              <a16:creationId xmlns:a16="http://schemas.microsoft.com/office/drawing/2014/main" id="{B82CAD53-D2CF-4BF7-A05E-9B99E20C817D}"/>
            </a:ext>
          </a:extLst>
        </xdr:cNvPr>
        <xdr:cNvSpPr/>
      </xdr:nvSpPr>
      <xdr:spPr>
        <a:xfrm>
          <a:off x="3002280" y="1562100"/>
          <a:ext cx="3497580" cy="306324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bg1"/>
              </a:solidFill>
            </a:rPr>
            <a:t>Attration</a:t>
          </a:r>
          <a:r>
            <a:rPr lang="en-US" sz="1200" b="1" i="1" baseline="0">
              <a:solidFill>
                <a:schemeClr val="bg1"/>
              </a:solidFill>
            </a:rPr>
            <a:t> Rate BY JopRoles</a:t>
          </a:r>
          <a:endParaRPr lang="en-US" sz="1200" b="1" i="1">
            <a:solidFill>
              <a:schemeClr val="bg1"/>
            </a:solidFill>
          </a:endParaRPr>
        </a:p>
      </xdr:txBody>
    </xdr:sp>
    <xdr:clientData/>
  </xdr:twoCellAnchor>
  <xdr:twoCellAnchor>
    <xdr:from>
      <xdr:col>20</xdr:col>
      <xdr:colOff>68580</xdr:colOff>
      <xdr:row>8</xdr:row>
      <xdr:rowOff>53340</xdr:rowOff>
    </xdr:from>
    <xdr:to>
      <xdr:col>22</xdr:col>
      <xdr:colOff>243840</xdr:colOff>
      <xdr:row>11</xdr:row>
      <xdr:rowOff>144780</xdr:rowOff>
    </xdr:to>
    <xdr:sp macro="" textlink="">
      <xdr:nvSpPr>
        <xdr:cNvPr id="21" name="Rectangle: Rounded Corners 20">
          <a:extLst>
            <a:ext uri="{FF2B5EF4-FFF2-40B4-BE49-F238E27FC236}">
              <a16:creationId xmlns:a16="http://schemas.microsoft.com/office/drawing/2014/main" id="{1A840380-FCCB-5660-55D1-11BF0B943C47}"/>
            </a:ext>
          </a:extLst>
        </xdr:cNvPr>
        <xdr:cNvSpPr/>
      </xdr:nvSpPr>
      <xdr:spPr>
        <a:xfrm>
          <a:off x="12260580" y="1516380"/>
          <a:ext cx="1394460" cy="64008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Cleare Filters</a:t>
          </a:r>
        </a:p>
      </xdr:txBody>
    </xdr:sp>
    <xdr:clientData/>
  </xdr:twoCellAnchor>
  <xdr:twoCellAnchor>
    <xdr:from>
      <xdr:col>19</xdr:col>
      <xdr:colOff>480060</xdr:colOff>
      <xdr:row>12</xdr:row>
      <xdr:rowOff>15240</xdr:rowOff>
    </xdr:from>
    <xdr:to>
      <xdr:col>22</xdr:col>
      <xdr:colOff>373380</xdr:colOff>
      <xdr:row>26</xdr:row>
      <xdr:rowOff>129540</xdr:rowOff>
    </xdr:to>
    <xdr:sp macro="" textlink="">
      <xdr:nvSpPr>
        <xdr:cNvPr id="22" name="Rectangle: Rounded Corners 21">
          <a:extLst>
            <a:ext uri="{FF2B5EF4-FFF2-40B4-BE49-F238E27FC236}">
              <a16:creationId xmlns:a16="http://schemas.microsoft.com/office/drawing/2014/main" id="{E31A5AF5-98A2-46AD-9EBD-39235EDC41E5}"/>
            </a:ext>
          </a:extLst>
        </xdr:cNvPr>
        <xdr:cNvSpPr/>
      </xdr:nvSpPr>
      <xdr:spPr>
        <a:xfrm>
          <a:off x="12062460" y="2209800"/>
          <a:ext cx="1722120" cy="267462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lt1"/>
              </a:solidFill>
              <a:effectLst/>
              <a:latin typeface="+mn-lt"/>
              <a:ea typeface="+mn-ea"/>
              <a:cs typeface="+mn-cs"/>
            </a:rPr>
            <a:t>Filters</a:t>
          </a:r>
          <a:endParaRPr lang="en-US" sz="1200" b="1" i="1"/>
        </a:p>
      </xdr:txBody>
    </xdr:sp>
    <xdr:clientData/>
  </xdr:twoCellAnchor>
  <xdr:oneCellAnchor>
    <xdr:from>
      <xdr:col>1</xdr:col>
      <xdr:colOff>129540</xdr:colOff>
      <xdr:row>9</xdr:row>
      <xdr:rowOff>144780</xdr:rowOff>
    </xdr:from>
    <xdr:ext cx="1318260" cy="525780"/>
    <xdr:sp macro="" textlink="">
      <xdr:nvSpPr>
        <xdr:cNvPr id="24" name="TextBox 23">
          <a:extLst>
            <a:ext uri="{FF2B5EF4-FFF2-40B4-BE49-F238E27FC236}">
              <a16:creationId xmlns:a16="http://schemas.microsoft.com/office/drawing/2014/main" id="{BDD592AD-B953-8616-6C87-6B7B7F3538EF}"/>
            </a:ext>
          </a:extLst>
        </xdr:cNvPr>
        <xdr:cNvSpPr txBox="1"/>
      </xdr:nvSpPr>
      <xdr:spPr>
        <a:xfrm>
          <a:off x="739140" y="1790700"/>
          <a:ext cx="1318260" cy="5257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2800" b="1" i="0" u="none" strike="noStrike">
              <a:solidFill>
                <a:schemeClr val="bg1"/>
              </a:solidFill>
              <a:effectLst/>
              <a:latin typeface="+mn-lt"/>
              <a:ea typeface="+mn-ea"/>
              <a:cs typeface="+mn-cs"/>
            </a:rPr>
            <a:t>16.08%</a:t>
          </a:r>
          <a:r>
            <a:rPr lang="en-US" sz="2800" b="1">
              <a:solidFill>
                <a:schemeClr val="bg1"/>
              </a:solidFill>
            </a:rPr>
            <a:t> </a:t>
          </a:r>
        </a:p>
      </xdr:txBody>
    </xdr:sp>
    <xdr:clientData/>
  </xdr:oneCellAnchor>
  <xdr:twoCellAnchor>
    <xdr:from>
      <xdr:col>3</xdr:col>
      <xdr:colOff>99060</xdr:colOff>
      <xdr:row>7</xdr:row>
      <xdr:rowOff>45720</xdr:rowOff>
    </xdr:from>
    <xdr:to>
      <xdr:col>5</xdr:col>
      <xdr:colOff>510540</xdr:colOff>
      <xdr:row>13</xdr:row>
      <xdr:rowOff>167641</xdr:rowOff>
    </xdr:to>
    <xdr:graphicFrame macro="">
      <xdr:nvGraphicFramePr>
        <xdr:cNvPr id="27" name="Chart 26">
          <a:extLst>
            <a:ext uri="{FF2B5EF4-FFF2-40B4-BE49-F238E27FC236}">
              <a16:creationId xmlns:a16="http://schemas.microsoft.com/office/drawing/2014/main" id="{D32292C8-078D-4789-AC56-7911DFBF765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91440</xdr:colOff>
      <xdr:row>14</xdr:row>
      <xdr:rowOff>121920</xdr:rowOff>
    </xdr:from>
    <xdr:to>
      <xdr:col>4</xdr:col>
      <xdr:colOff>441960</xdr:colOff>
      <xdr:row>19</xdr:row>
      <xdr:rowOff>83820</xdr:rowOff>
    </xdr:to>
    <xdr:sp macro="" textlink="">
      <xdr:nvSpPr>
        <xdr:cNvPr id="28" name="Rectangle: Rounded Corners 27">
          <a:extLst>
            <a:ext uri="{FF2B5EF4-FFF2-40B4-BE49-F238E27FC236}">
              <a16:creationId xmlns:a16="http://schemas.microsoft.com/office/drawing/2014/main" id="{AC11EEA9-9BDE-4B74-ACEC-78F9EB7D09A7}"/>
            </a:ext>
          </a:extLst>
        </xdr:cNvPr>
        <xdr:cNvSpPr/>
      </xdr:nvSpPr>
      <xdr:spPr>
        <a:xfrm>
          <a:off x="701040" y="2682240"/>
          <a:ext cx="2179320" cy="8763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i="1">
              <a:solidFill>
                <a:schemeClr val="bg1"/>
              </a:solidFill>
            </a:rPr>
            <a:t>OverTime</a:t>
          </a:r>
          <a:r>
            <a:rPr lang="en-US" sz="1200" b="1" i="1" baseline="0">
              <a:solidFill>
                <a:schemeClr val="bg1"/>
              </a:solidFill>
            </a:rPr>
            <a:t> Rate</a:t>
          </a:r>
          <a:endParaRPr lang="en-US" sz="1200" b="1" i="1">
            <a:solidFill>
              <a:schemeClr val="bg1"/>
            </a:solidFill>
          </a:endParaRPr>
        </a:p>
      </xdr:txBody>
    </xdr:sp>
    <xdr:clientData/>
  </xdr:twoCellAnchor>
  <xdr:twoCellAnchor editAs="oneCell">
    <xdr:from>
      <xdr:col>3</xdr:col>
      <xdr:colOff>0</xdr:colOff>
      <xdr:row>29</xdr:row>
      <xdr:rowOff>0</xdr:rowOff>
    </xdr:from>
    <xdr:to>
      <xdr:col>4</xdr:col>
      <xdr:colOff>281940</xdr:colOff>
      <xdr:row>30</xdr:row>
      <xdr:rowOff>7620</xdr:rowOff>
    </xdr:to>
    <xdr:pic>
      <xdr:nvPicPr>
        <xdr:cNvPr id="29" name="Picture 28">
          <a:extLst>
            <a:ext uri="{FF2B5EF4-FFF2-40B4-BE49-F238E27FC236}">
              <a16:creationId xmlns:a16="http://schemas.microsoft.com/office/drawing/2014/main" id="{4C7013D9-9DA2-1A91-5D6A-9BFEDDDC9116}"/>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828800" y="5303520"/>
          <a:ext cx="89154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106680</xdr:colOff>
      <xdr:row>15</xdr:row>
      <xdr:rowOff>30480</xdr:rowOff>
    </xdr:from>
    <xdr:ext cx="1295400" cy="480060"/>
    <xdr:sp macro="" textlink="">
      <xdr:nvSpPr>
        <xdr:cNvPr id="30" name="TextBox 29">
          <a:extLst>
            <a:ext uri="{FF2B5EF4-FFF2-40B4-BE49-F238E27FC236}">
              <a16:creationId xmlns:a16="http://schemas.microsoft.com/office/drawing/2014/main" id="{0A7BA457-8FF4-8F6C-7A90-BEB865C662C9}"/>
            </a:ext>
          </a:extLst>
        </xdr:cNvPr>
        <xdr:cNvSpPr txBox="1"/>
      </xdr:nvSpPr>
      <xdr:spPr>
        <a:xfrm>
          <a:off x="716280" y="2773680"/>
          <a:ext cx="1295400" cy="480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2800" b="1" i="0" u="none" strike="noStrike">
              <a:solidFill>
                <a:schemeClr val="bg1"/>
              </a:solidFill>
              <a:effectLst/>
              <a:latin typeface="+mn-lt"/>
              <a:ea typeface="+mn-ea"/>
              <a:cs typeface="+mn-cs"/>
            </a:rPr>
            <a:t>28.24%</a:t>
          </a:r>
          <a:r>
            <a:rPr lang="en-US"/>
            <a:t> </a:t>
          </a:r>
          <a:endParaRPr lang="en-US" sz="1100"/>
        </a:p>
      </xdr:txBody>
    </xdr:sp>
    <xdr:clientData/>
  </xdr:oneCellAnchor>
  <xdr:twoCellAnchor>
    <xdr:from>
      <xdr:col>2</xdr:col>
      <xdr:colOff>144780</xdr:colOff>
      <xdr:row>12</xdr:row>
      <xdr:rowOff>68580</xdr:rowOff>
    </xdr:from>
    <xdr:to>
      <xdr:col>5</xdr:col>
      <xdr:colOff>99060</xdr:colOff>
      <xdr:row>21</xdr:row>
      <xdr:rowOff>38100</xdr:rowOff>
    </xdr:to>
    <xdr:graphicFrame macro="">
      <xdr:nvGraphicFramePr>
        <xdr:cNvPr id="31" name="Chart 30">
          <a:extLst>
            <a:ext uri="{FF2B5EF4-FFF2-40B4-BE49-F238E27FC236}">
              <a16:creationId xmlns:a16="http://schemas.microsoft.com/office/drawing/2014/main" id="{088A7A71-F623-4FB9-8EBD-A36871F228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114300</xdr:colOff>
      <xdr:row>20</xdr:row>
      <xdr:rowOff>0</xdr:rowOff>
    </xdr:from>
    <xdr:to>
      <xdr:col>4</xdr:col>
      <xdr:colOff>464820</xdr:colOff>
      <xdr:row>24</xdr:row>
      <xdr:rowOff>144780</xdr:rowOff>
    </xdr:to>
    <xdr:sp macro="" textlink="">
      <xdr:nvSpPr>
        <xdr:cNvPr id="32" name="Rectangle: Rounded Corners 31">
          <a:extLst>
            <a:ext uri="{FF2B5EF4-FFF2-40B4-BE49-F238E27FC236}">
              <a16:creationId xmlns:a16="http://schemas.microsoft.com/office/drawing/2014/main" id="{C13318E9-EA12-45B4-8B7F-B0B4CE301D89}"/>
            </a:ext>
          </a:extLst>
        </xdr:cNvPr>
        <xdr:cNvSpPr/>
      </xdr:nvSpPr>
      <xdr:spPr>
        <a:xfrm>
          <a:off x="723900" y="3657600"/>
          <a:ext cx="2179320" cy="8763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i="1">
              <a:solidFill>
                <a:schemeClr val="bg1"/>
              </a:solidFill>
            </a:rPr>
            <a:t>Monthely Income</a:t>
          </a:r>
        </a:p>
      </xdr:txBody>
    </xdr:sp>
    <xdr:clientData/>
  </xdr:twoCellAnchor>
  <xdr:oneCellAnchor>
    <xdr:from>
      <xdr:col>1</xdr:col>
      <xdr:colOff>220980</xdr:colOff>
      <xdr:row>20</xdr:row>
      <xdr:rowOff>99060</xdr:rowOff>
    </xdr:from>
    <xdr:ext cx="1150620" cy="516020"/>
    <xdr:sp macro="" textlink="">
      <xdr:nvSpPr>
        <xdr:cNvPr id="33" name="TextBox 32">
          <a:extLst>
            <a:ext uri="{FF2B5EF4-FFF2-40B4-BE49-F238E27FC236}">
              <a16:creationId xmlns:a16="http://schemas.microsoft.com/office/drawing/2014/main" id="{469274D4-67CE-4618-848C-ADD9A30E3AB4}"/>
            </a:ext>
          </a:extLst>
        </xdr:cNvPr>
        <xdr:cNvSpPr txBox="1"/>
      </xdr:nvSpPr>
      <xdr:spPr>
        <a:xfrm>
          <a:off x="830580" y="3756660"/>
          <a:ext cx="1150620" cy="5160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b="1" i="0" u="none" strike="noStrike">
              <a:solidFill>
                <a:schemeClr val="bg1"/>
              </a:solidFill>
              <a:effectLst/>
              <a:latin typeface="+mn-lt"/>
              <a:ea typeface="+mn-ea"/>
              <a:cs typeface="+mn-cs"/>
            </a:rPr>
            <a:t>6505</a:t>
          </a:r>
          <a:r>
            <a:rPr lang="en-US"/>
            <a:t> </a:t>
          </a:r>
          <a:endParaRPr lang="en-US" sz="1100"/>
        </a:p>
      </xdr:txBody>
    </xdr:sp>
    <xdr:clientData/>
  </xdr:oneCellAnchor>
  <xdr:twoCellAnchor>
    <xdr:from>
      <xdr:col>5</xdr:col>
      <xdr:colOff>22860</xdr:colOff>
      <xdr:row>11</xdr:row>
      <xdr:rowOff>0</xdr:rowOff>
    </xdr:from>
    <xdr:to>
      <xdr:col>10</xdr:col>
      <xdr:colOff>358140</xdr:colOff>
      <xdr:row>23</xdr:row>
      <xdr:rowOff>152400</xdr:rowOff>
    </xdr:to>
    <xdr:graphicFrame macro="">
      <xdr:nvGraphicFramePr>
        <xdr:cNvPr id="34" name="Chart 33">
          <a:extLst>
            <a:ext uri="{FF2B5EF4-FFF2-40B4-BE49-F238E27FC236}">
              <a16:creationId xmlns:a16="http://schemas.microsoft.com/office/drawing/2014/main" id="{2EDD2E71-416E-4CC3-9302-BF99BF4E21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480060</xdr:colOff>
      <xdr:row>8</xdr:row>
      <xdr:rowOff>106680</xdr:rowOff>
    </xdr:from>
    <xdr:to>
      <xdr:col>15</xdr:col>
      <xdr:colOff>91440</xdr:colOff>
      <xdr:row>25</xdr:row>
      <xdr:rowOff>60960</xdr:rowOff>
    </xdr:to>
    <xdr:sp macro="" textlink="">
      <xdr:nvSpPr>
        <xdr:cNvPr id="35" name="Rectangle: Rounded Corners 34">
          <a:extLst>
            <a:ext uri="{FF2B5EF4-FFF2-40B4-BE49-F238E27FC236}">
              <a16:creationId xmlns:a16="http://schemas.microsoft.com/office/drawing/2014/main" id="{B5F60372-BF07-4B7B-A758-942C3158056B}"/>
            </a:ext>
          </a:extLst>
        </xdr:cNvPr>
        <xdr:cNvSpPr/>
      </xdr:nvSpPr>
      <xdr:spPr>
        <a:xfrm>
          <a:off x="6576060" y="1569720"/>
          <a:ext cx="2659380" cy="306324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bg1"/>
              </a:solidFill>
            </a:rPr>
            <a:t>Departments</a:t>
          </a:r>
          <a:r>
            <a:rPr lang="en-US" sz="1200" b="1" i="1" baseline="0">
              <a:solidFill>
                <a:schemeClr val="bg1"/>
              </a:solidFill>
            </a:rPr>
            <a:t> By Monthely Income</a:t>
          </a:r>
          <a:endParaRPr lang="en-US" sz="1200" b="1" i="1">
            <a:solidFill>
              <a:schemeClr val="bg1"/>
            </a:solidFill>
          </a:endParaRPr>
        </a:p>
      </xdr:txBody>
    </xdr:sp>
    <xdr:clientData/>
  </xdr:twoCellAnchor>
  <xdr:twoCellAnchor>
    <xdr:from>
      <xdr:col>10</xdr:col>
      <xdr:colOff>541020</xdr:colOff>
      <xdr:row>10</xdr:row>
      <xdr:rowOff>121920</xdr:rowOff>
    </xdr:from>
    <xdr:to>
      <xdr:col>15</xdr:col>
      <xdr:colOff>32813</xdr:colOff>
      <xdr:row>24</xdr:row>
      <xdr:rowOff>83820</xdr:rowOff>
    </xdr:to>
    <xdr:graphicFrame macro="">
      <xdr:nvGraphicFramePr>
        <xdr:cNvPr id="37" name="Chart 36">
          <a:extLst>
            <a:ext uri="{FF2B5EF4-FFF2-40B4-BE49-F238E27FC236}">
              <a16:creationId xmlns:a16="http://schemas.microsoft.com/office/drawing/2014/main" id="{F6A8AC5D-1084-44F6-9E8B-4641B93E3B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19</xdr:col>
      <xdr:colOff>541020</xdr:colOff>
      <xdr:row>19</xdr:row>
      <xdr:rowOff>83820</xdr:rowOff>
    </xdr:from>
    <xdr:to>
      <xdr:col>22</xdr:col>
      <xdr:colOff>259080</xdr:colOff>
      <xdr:row>26</xdr:row>
      <xdr:rowOff>60959</xdr:rowOff>
    </xdr:to>
    <mc:AlternateContent xmlns:mc="http://schemas.openxmlformats.org/markup-compatibility/2006" xmlns:a14="http://schemas.microsoft.com/office/drawing/2010/main">
      <mc:Choice Requires="a14">
        <xdr:graphicFrame macro="">
          <xdr:nvGraphicFramePr>
            <xdr:cNvPr id="38" name="SalarySlab">
              <a:extLst>
                <a:ext uri="{FF2B5EF4-FFF2-40B4-BE49-F238E27FC236}">
                  <a16:creationId xmlns:a16="http://schemas.microsoft.com/office/drawing/2014/main" id="{D4383A32-CDF5-4F8F-8696-D56039DFAAF6}"/>
                </a:ext>
              </a:extLst>
            </xdr:cNvPr>
            <xdr:cNvGraphicFramePr/>
          </xdr:nvGraphicFramePr>
          <xdr:xfrm>
            <a:off x="0" y="0"/>
            <a:ext cx="0" cy="0"/>
          </xdr:xfrm>
          <a:graphic>
            <a:graphicData uri="http://schemas.microsoft.com/office/drawing/2010/slicer">
              <sle:slicer xmlns:sle="http://schemas.microsoft.com/office/drawing/2010/slicer" name="SalarySlab"/>
            </a:graphicData>
          </a:graphic>
        </xdr:graphicFrame>
      </mc:Choice>
      <mc:Fallback xmlns="">
        <xdr:sp macro="" textlink="">
          <xdr:nvSpPr>
            <xdr:cNvPr id="0" name=""/>
            <xdr:cNvSpPr>
              <a:spLocks noTextEdit="1"/>
            </xdr:cNvSpPr>
          </xdr:nvSpPr>
          <xdr:spPr>
            <a:xfrm>
              <a:off x="12123420" y="3558540"/>
              <a:ext cx="1546860" cy="12572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556260</xdr:colOff>
      <xdr:row>13</xdr:row>
      <xdr:rowOff>175261</xdr:rowOff>
    </xdr:from>
    <xdr:to>
      <xdr:col>22</xdr:col>
      <xdr:colOff>259080</xdr:colOff>
      <xdr:row>19</xdr:row>
      <xdr:rowOff>45720</xdr:rowOff>
    </xdr:to>
    <mc:AlternateContent xmlns:mc="http://schemas.openxmlformats.org/markup-compatibility/2006" xmlns:a14="http://schemas.microsoft.com/office/drawing/2010/main">
      <mc:Choice Requires="a14">
        <xdr:graphicFrame macro="">
          <xdr:nvGraphicFramePr>
            <xdr:cNvPr id="39" name="Department">
              <a:extLst>
                <a:ext uri="{FF2B5EF4-FFF2-40B4-BE49-F238E27FC236}">
                  <a16:creationId xmlns:a16="http://schemas.microsoft.com/office/drawing/2014/main" id="{F0791DD7-4BE9-4CF0-9846-F4E9E3719B8A}"/>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138660" y="2552701"/>
              <a:ext cx="1531620" cy="9677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365760</xdr:colOff>
      <xdr:row>9</xdr:row>
      <xdr:rowOff>76200</xdr:rowOff>
    </xdr:from>
    <xdr:to>
      <xdr:col>22</xdr:col>
      <xdr:colOff>0</xdr:colOff>
      <xdr:row>12</xdr:row>
      <xdr:rowOff>45720</xdr:rowOff>
    </xdr:to>
    <xdr:sp macro="[0]!cleare_filter" textlink="">
      <xdr:nvSpPr>
        <xdr:cNvPr id="40" name="Multiplication Sign 39">
          <a:extLst>
            <a:ext uri="{FF2B5EF4-FFF2-40B4-BE49-F238E27FC236}">
              <a16:creationId xmlns:a16="http://schemas.microsoft.com/office/drawing/2014/main" id="{091D56E2-102C-4879-85F5-D0CA1668933F}"/>
            </a:ext>
          </a:extLst>
        </xdr:cNvPr>
        <xdr:cNvSpPr/>
      </xdr:nvSpPr>
      <xdr:spPr>
        <a:xfrm>
          <a:off x="12557760" y="1722120"/>
          <a:ext cx="853440" cy="518160"/>
        </a:xfrm>
        <a:prstGeom prst="mathMultiply">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167640</xdr:colOff>
      <xdr:row>8</xdr:row>
      <xdr:rowOff>106680</xdr:rowOff>
    </xdr:from>
    <xdr:to>
      <xdr:col>19</xdr:col>
      <xdr:colOff>403860</xdr:colOff>
      <xdr:row>25</xdr:row>
      <xdr:rowOff>175260</xdr:rowOff>
    </xdr:to>
    <xdr:sp macro="" textlink="">
      <xdr:nvSpPr>
        <xdr:cNvPr id="42" name="Rectangle: Rounded Corners 41">
          <a:extLst>
            <a:ext uri="{FF2B5EF4-FFF2-40B4-BE49-F238E27FC236}">
              <a16:creationId xmlns:a16="http://schemas.microsoft.com/office/drawing/2014/main" id="{A18CC1A7-21A9-4951-85E9-96E815019F84}"/>
            </a:ext>
          </a:extLst>
        </xdr:cNvPr>
        <xdr:cNvSpPr/>
      </xdr:nvSpPr>
      <xdr:spPr>
        <a:xfrm>
          <a:off x="9311640" y="1569720"/>
          <a:ext cx="2674620" cy="317754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bg1"/>
              </a:solidFill>
            </a:rPr>
            <a:t>Satisfaction</a:t>
          </a:r>
          <a:r>
            <a:rPr lang="en-US" sz="1200" b="1" i="1" baseline="0">
              <a:solidFill>
                <a:schemeClr val="bg1"/>
              </a:solidFill>
            </a:rPr>
            <a:t> Rate By JobRole</a:t>
          </a:r>
          <a:endParaRPr lang="en-US" sz="1200" b="1" i="1">
            <a:solidFill>
              <a:schemeClr val="bg1"/>
            </a:solidFill>
          </a:endParaRPr>
        </a:p>
      </xdr:txBody>
    </xdr:sp>
    <xdr:clientData/>
  </xdr:twoCellAnchor>
  <xdr:twoCellAnchor editAs="oneCell">
    <xdr:from>
      <xdr:col>15</xdr:col>
      <xdr:colOff>281940</xdr:colOff>
      <xdr:row>11</xdr:row>
      <xdr:rowOff>0</xdr:rowOff>
    </xdr:from>
    <xdr:to>
      <xdr:col>19</xdr:col>
      <xdr:colOff>359715</xdr:colOff>
      <xdr:row>24</xdr:row>
      <xdr:rowOff>83820</xdr:rowOff>
    </xdr:to>
    <xdr:pic>
      <xdr:nvPicPr>
        <xdr:cNvPr id="43" name="Picture 42">
          <a:extLst>
            <a:ext uri="{FF2B5EF4-FFF2-40B4-BE49-F238E27FC236}">
              <a16:creationId xmlns:a16="http://schemas.microsoft.com/office/drawing/2014/main" id="{D86C2244-7515-79E8-A4D1-930BEBF944EB}"/>
            </a:ext>
          </a:extLst>
        </xdr:cNvPr>
        <xdr:cNvPicPr>
          <a:picLocks noChangeAspect="1"/>
        </xdr:cNvPicPr>
      </xdr:nvPicPr>
      <xdr:blipFill>
        <a:blip xmlns:r="http://schemas.openxmlformats.org/officeDocument/2006/relationships" r:embed="rId12"/>
        <a:stretch>
          <a:fillRect/>
        </a:stretch>
      </xdr:blipFill>
      <xdr:spPr>
        <a:xfrm>
          <a:off x="9425940" y="2011680"/>
          <a:ext cx="2516175" cy="246126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38100</xdr:colOff>
      <xdr:row>2</xdr:row>
      <xdr:rowOff>137160</xdr:rowOff>
    </xdr:from>
    <xdr:to>
      <xdr:col>22</xdr:col>
      <xdr:colOff>449580</xdr:colOff>
      <xdr:row>27</xdr:row>
      <xdr:rowOff>45720</xdr:rowOff>
    </xdr:to>
    <xdr:sp macro="" textlink="">
      <xdr:nvSpPr>
        <xdr:cNvPr id="2" name="Rectangle 1">
          <a:extLst>
            <a:ext uri="{FF2B5EF4-FFF2-40B4-BE49-F238E27FC236}">
              <a16:creationId xmlns:a16="http://schemas.microsoft.com/office/drawing/2014/main" id="{B34B1905-7419-4F39-8010-D1D0FAAAD13A}"/>
            </a:ext>
          </a:extLst>
        </xdr:cNvPr>
        <xdr:cNvSpPr/>
      </xdr:nvSpPr>
      <xdr:spPr>
        <a:xfrm>
          <a:off x="647700" y="502920"/>
          <a:ext cx="13213080" cy="4480560"/>
        </a:xfrm>
        <a:prstGeom prst="rect">
          <a:avLst/>
        </a:prstGeom>
        <a:solidFill>
          <a:srgbClr val="303030"/>
        </a:solidFill>
        <a:ln>
          <a:solidFill>
            <a:srgbClr val="303030"/>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53340</xdr:colOff>
      <xdr:row>2</xdr:row>
      <xdr:rowOff>144780</xdr:rowOff>
    </xdr:from>
    <xdr:to>
      <xdr:col>22</xdr:col>
      <xdr:colOff>487680</xdr:colOff>
      <xdr:row>7</xdr:row>
      <xdr:rowOff>144780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89FCC42-C4FD-4332-9C60-BE52B6AB4D85}"/>
            </a:ext>
          </a:extLst>
        </xdr:cNvPr>
        <xdr:cNvSpPr/>
      </xdr:nvSpPr>
      <xdr:spPr>
        <a:xfrm>
          <a:off x="662940" y="510540"/>
          <a:ext cx="13235940" cy="9144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495300</xdr:colOff>
      <xdr:row>2</xdr:row>
      <xdr:rowOff>160020</xdr:rowOff>
    </xdr:from>
    <xdr:to>
      <xdr:col>8</xdr:col>
      <xdr:colOff>99060</xdr:colOff>
      <xdr:row>7</xdr:row>
      <xdr:rowOff>38100</xdr:rowOff>
    </xdr:to>
    <xdr:sp macro="" textlink="">
      <xdr:nvSpPr>
        <xdr:cNvPr id="4" name="Rectangle: Rounded Corners 3">
          <a:extLst>
            <a:ext uri="{FF2B5EF4-FFF2-40B4-BE49-F238E27FC236}">
              <a16:creationId xmlns:a16="http://schemas.microsoft.com/office/drawing/2014/main" id="{8BD1AC2E-84A4-4F6A-BC79-0BF83A04A1D9}"/>
            </a:ext>
          </a:extLst>
        </xdr:cNvPr>
        <xdr:cNvSpPr/>
      </xdr:nvSpPr>
      <xdr:spPr>
        <a:xfrm>
          <a:off x="2933700" y="525780"/>
          <a:ext cx="2042160" cy="79248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i="1"/>
            <a:t>OverView</a:t>
          </a:r>
        </a:p>
      </xdr:txBody>
    </xdr:sp>
    <xdr:clientData/>
  </xdr:twoCellAnchor>
  <xdr:twoCellAnchor editAs="oneCell">
    <xdr:from>
      <xdr:col>6</xdr:col>
      <xdr:colOff>38101</xdr:colOff>
      <xdr:row>2</xdr:row>
      <xdr:rowOff>160020</xdr:rowOff>
    </xdr:from>
    <xdr:to>
      <xdr:col>6</xdr:col>
      <xdr:colOff>541020</xdr:colOff>
      <xdr:row>5</xdr:row>
      <xdr:rowOff>114299</xdr:rowOff>
    </xdr:to>
    <xdr:pic>
      <xdr:nvPicPr>
        <xdr:cNvPr id="5" name="Picture 4">
          <a:extLst>
            <a:ext uri="{FF2B5EF4-FFF2-40B4-BE49-F238E27FC236}">
              <a16:creationId xmlns:a16="http://schemas.microsoft.com/office/drawing/2014/main" id="{F03E2354-75CB-447F-944E-C7AF36242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95701" y="525780"/>
          <a:ext cx="502919" cy="502919"/>
        </a:xfrm>
        <a:prstGeom prst="rect">
          <a:avLst/>
        </a:prstGeom>
      </xdr:spPr>
    </xdr:pic>
    <xdr:clientData/>
  </xdr:twoCellAnchor>
  <xdr:twoCellAnchor>
    <xdr:from>
      <xdr:col>16</xdr:col>
      <xdr:colOff>68580</xdr:colOff>
      <xdr:row>2</xdr:row>
      <xdr:rowOff>160020</xdr:rowOff>
    </xdr:from>
    <xdr:to>
      <xdr:col>19</xdr:col>
      <xdr:colOff>281940</xdr:colOff>
      <xdr:row>7</xdr:row>
      <xdr:rowOff>38100</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2845C536-537E-4B60-A6F7-160C9103E34C}"/>
            </a:ext>
          </a:extLst>
        </xdr:cNvPr>
        <xdr:cNvSpPr/>
      </xdr:nvSpPr>
      <xdr:spPr>
        <a:xfrm>
          <a:off x="9822180" y="525780"/>
          <a:ext cx="2042160" cy="79248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i="1"/>
            <a:t>Employee</a:t>
          </a:r>
        </a:p>
      </xdr:txBody>
    </xdr:sp>
    <xdr:clientData/>
  </xdr:twoCellAnchor>
  <xdr:twoCellAnchor>
    <xdr:from>
      <xdr:col>10</xdr:col>
      <xdr:colOff>281940</xdr:colOff>
      <xdr:row>2</xdr:row>
      <xdr:rowOff>160020</xdr:rowOff>
    </xdr:from>
    <xdr:to>
      <xdr:col>13</xdr:col>
      <xdr:colOff>495300</xdr:colOff>
      <xdr:row>7</xdr:row>
      <xdr:rowOff>38100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0BC9B5D3-D5DA-4C32-B886-EE0D237B714A}"/>
            </a:ext>
          </a:extLst>
        </xdr:cNvPr>
        <xdr:cNvSpPr/>
      </xdr:nvSpPr>
      <xdr:spPr>
        <a:xfrm>
          <a:off x="6377940" y="525780"/>
          <a:ext cx="2042160" cy="792480"/>
        </a:xfrm>
        <a:prstGeom prst="roundRect">
          <a:avLst/>
        </a:prstGeom>
        <a:solidFill>
          <a:srgbClr val="53AFC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i="1"/>
            <a:t>Department</a:t>
          </a:r>
        </a:p>
      </xdr:txBody>
    </xdr:sp>
    <xdr:clientData/>
  </xdr:twoCellAnchor>
  <xdr:twoCellAnchor editAs="oneCell">
    <xdr:from>
      <xdr:col>17</xdr:col>
      <xdr:colOff>160020</xdr:colOff>
      <xdr:row>2</xdr:row>
      <xdr:rowOff>160020</xdr:rowOff>
    </xdr:from>
    <xdr:to>
      <xdr:col>18</xdr:col>
      <xdr:colOff>179091</xdr:colOff>
      <xdr:row>6</xdr:row>
      <xdr:rowOff>57171</xdr:rowOff>
    </xdr:to>
    <xdr:pic>
      <xdr:nvPicPr>
        <xdr:cNvPr id="8" name="Picture 7">
          <a:extLst>
            <a:ext uri="{FF2B5EF4-FFF2-40B4-BE49-F238E27FC236}">
              <a16:creationId xmlns:a16="http://schemas.microsoft.com/office/drawing/2014/main" id="{624BBC30-8C02-4A4B-9931-B81AD439C40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523220" y="525780"/>
          <a:ext cx="628671" cy="628671"/>
        </a:xfrm>
        <a:prstGeom prst="rect">
          <a:avLst/>
        </a:prstGeom>
      </xdr:spPr>
    </xdr:pic>
    <xdr:clientData/>
  </xdr:twoCellAnchor>
  <xdr:twoCellAnchor editAs="oneCell">
    <xdr:from>
      <xdr:col>11</xdr:col>
      <xdr:colOff>424320</xdr:colOff>
      <xdr:row>2</xdr:row>
      <xdr:rowOff>160020</xdr:rowOff>
    </xdr:from>
    <xdr:to>
      <xdr:col>12</xdr:col>
      <xdr:colOff>342900</xdr:colOff>
      <xdr:row>5</xdr:row>
      <xdr:rowOff>139560</xdr:rowOff>
    </xdr:to>
    <xdr:pic>
      <xdr:nvPicPr>
        <xdr:cNvPr id="9" name="Picture 8">
          <a:extLst>
            <a:ext uri="{FF2B5EF4-FFF2-40B4-BE49-F238E27FC236}">
              <a16:creationId xmlns:a16="http://schemas.microsoft.com/office/drawing/2014/main" id="{C87D4BD0-273D-4070-867F-00CBECB0809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129920" y="525780"/>
          <a:ext cx="528180" cy="528180"/>
        </a:xfrm>
        <a:prstGeom prst="rect">
          <a:avLst/>
        </a:prstGeom>
      </xdr:spPr>
    </xdr:pic>
    <xdr:clientData/>
  </xdr:twoCellAnchor>
  <xdr:twoCellAnchor>
    <xdr:from>
      <xdr:col>1</xdr:col>
      <xdr:colOff>68580</xdr:colOff>
      <xdr:row>7</xdr:row>
      <xdr:rowOff>7620</xdr:rowOff>
    </xdr:from>
    <xdr:to>
      <xdr:col>22</xdr:col>
      <xdr:colOff>457200</xdr:colOff>
      <xdr:row>8</xdr:row>
      <xdr:rowOff>0</xdr:rowOff>
    </xdr:to>
    <xdr:sp macro="" textlink="">
      <xdr:nvSpPr>
        <xdr:cNvPr id="10" name="Rectangle: Rounded Corners 9">
          <a:extLst>
            <a:ext uri="{FF2B5EF4-FFF2-40B4-BE49-F238E27FC236}">
              <a16:creationId xmlns:a16="http://schemas.microsoft.com/office/drawing/2014/main" id="{40D215B7-74E4-4277-89F3-8B92B5BC4AB3}"/>
            </a:ext>
          </a:extLst>
        </xdr:cNvPr>
        <xdr:cNvSpPr/>
      </xdr:nvSpPr>
      <xdr:spPr>
        <a:xfrm>
          <a:off x="678180" y="1287780"/>
          <a:ext cx="13190220" cy="175260"/>
        </a:xfrm>
        <a:prstGeom prst="roundRect">
          <a:avLst/>
        </a:prstGeom>
        <a:solidFill>
          <a:srgbClr val="53AFC5"/>
        </a:solidFill>
        <a:ln>
          <a:solidFill>
            <a:srgbClr val="53AFC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586740</xdr:colOff>
      <xdr:row>8</xdr:row>
      <xdr:rowOff>144780</xdr:rowOff>
    </xdr:from>
    <xdr:to>
      <xdr:col>10</xdr:col>
      <xdr:colOff>457200</xdr:colOff>
      <xdr:row>25</xdr:row>
      <xdr:rowOff>99060</xdr:rowOff>
    </xdr:to>
    <xdr:sp macro="" textlink="">
      <xdr:nvSpPr>
        <xdr:cNvPr id="12" name="Rectangle: Rounded Corners 11">
          <a:extLst>
            <a:ext uri="{FF2B5EF4-FFF2-40B4-BE49-F238E27FC236}">
              <a16:creationId xmlns:a16="http://schemas.microsoft.com/office/drawing/2014/main" id="{1940E50D-4503-46D5-8366-4A2E8759EF39}"/>
            </a:ext>
          </a:extLst>
        </xdr:cNvPr>
        <xdr:cNvSpPr/>
      </xdr:nvSpPr>
      <xdr:spPr>
        <a:xfrm>
          <a:off x="3634740" y="1607820"/>
          <a:ext cx="2918460" cy="306324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bg1"/>
              </a:solidFill>
            </a:rPr>
            <a:t>SatisfactionScore By Department</a:t>
          </a:r>
        </a:p>
      </xdr:txBody>
    </xdr:sp>
    <xdr:clientData/>
  </xdr:twoCellAnchor>
  <xdr:twoCellAnchor>
    <xdr:from>
      <xdr:col>20</xdr:col>
      <xdr:colOff>68580</xdr:colOff>
      <xdr:row>8</xdr:row>
      <xdr:rowOff>53340</xdr:rowOff>
    </xdr:from>
    <xdr:to>
      <xdr:col>22</xdr:col>
      <xdr:colOff>243840</xdr:colOff>
      <xdr:row>11</xdr:row>
      <xdr:rowOff>144780</xdr:rowOff>
    </xdr:to>
    <xdr:sp macro="" textlink="">
      <xdr:nvSpPr>
        <xdr:cNvPr id="13" name="Rectangle: Rounded Corners 12">
          <a:extLst>
            <a:ext uri="{FF2B5EF4-FFF2-40B4-BE49-F238E27FC236}">
              <a16:creationId xmlns:a16="http://schemas.microsoft.com/office/drawing/2014/main" id="{1AD668FF-6D41-4BAB-9611-A01FF95035D8}"/>
            </a:ext>
          </a:extLst>
        </xdr:cNvPr>
        <xdr:cNvSpPr/>
      </xdr:nvSpPr>
      <xdr:spPr>
        <a:xfrm>
          <a:off x="12260580" y="1516380"/>
          <a:ext cx="1394460" cy="64008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Cleare Filters</a:t>
          </a:r>
        </a:p>
      </xdr:txBody>
    </xdr:sp>
    <xdr:clientData/>
  </xdr:twoCellAnchor>
  <xdr:twoCellAnchor>
    <xdr:from>
      <xdr:col>19</xdr:col>
      <xdr:colOff>480060</xdr:colOff>
      <xdr:row>12</xdr:row>
      <xdr:rowOff>15240</xdr:rowOff>
    </xdr:from>
    <xdr:to>
      <xdr:col>22</xdr:col>
      <xdr:colOff>373380</xdr:colOff>
      <xdr:row>26</xdr:row>
      <xdr:rowOff>129540</xdr:rowOff>
    </xdr:to>
    <xdr:sp macro="" textlink="">
      <xdr:nvSpPr>
        <xdr:cNvPr id="14" name="Rectangle: Rounded Corners 13">
          <a:extLst>
            <a:ext uri="{FF2B5EF4-FFF2-40B4-BE49-F238E27FC236}">
              <a16:creationId xmlns:a16="http://schemas.microsoft.com/office/drawing/2014/main" id="{49EDA2CF-A034-4A39-A0DB-1FE3CBDCCECC}"/>
            </a:ext>
          </a:extLst>
        </xdr:cNvPr>
        <xdr:cNvSpPr/>
      </xdr:nvSpPr>
      <xdr:spPr>
        <a:xfrm>
          <a:off x="12062460" y="2209800"/>
          <a:ext cx="1722120" cy="267462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lt1"/>
              </a:solidFill>
              <a:effectLst/>
              <a:latin typeface="+mn-lt"/>
              <a:ea typeface="+mn-ea"/>
              <a:cs typeface="+mn-cs"/>
            </a:rPr>
            <a:t>Filters</a:t>
          </a:r>
          <a:endParaRPr lang="en-US" sz="1200" b="1" i="1"/>
        </a:p>
      </xdr:txBody>
    </xdr:sp>
    <xdr:clientData/>
  </xdr:twoCellAnchor>
  <xdr:twoCellAnchor editAs="oneCell">
    <xdr:from>
      <xdr:col>3</xdr:col>
      <xdr:colOff>0</xdr:colOff>
      <xdr:row>29</xdr:row>
      <xdr:rowOff>0</xdr:rowOff>
    </xdr:from>
    <xdr:to>
      <xdr:col>4</xdr:col>
      <xdr:colOff>281940</xdr:colOff>
      <xdr:row>30</xdr:row>
      <xdr:rowOff>7620</xdr:rowOff>
    </xdr:to>
    <xdr:pic>
      <xdr:nvPicPr>
        <xdr:cNvPr id="18" name="Picture 17">
          <a:extLst>
            <a:ext uri="{FF2B5EF4-FFF2-40B4-BE49-F238E27FC236}">
              <a16:creationId xmlns:a16="http://schemas.microsoft.com/office/drawing/2014/main" id="{D4B63FAD-719F-4C01-AB63-B0D32E8F2DB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28800" y="5303520"/>
          <a:ext cx="89154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563880</xdr:colOff>
      <xdr:row>8</xdr:row>
      <xdr:rowOff>152400</xdr:rowOff>
    </xdr:from>
    <xdr:to>
      <xdr:col>15</xdr:col>
      <xdr:colOff>411480</xdr:colOff>
      <xdr:row>25</xdr:row>
      <xdr:rowOff>106680</xdr:rowOff>
    </xdr:to>
    <xdr:sp macro="" textlink="">
      <xdr:nvSpPr>
        <xdr:cNvPr id="24" name="Rectangle: Rounded Corners 23">
          <a:extLst>
            <a:ext uri="{FF2B5EF4-FFF2-40B4-BE49-F238E27FC236}">
              <a16:creationId xmlns:a16="http://schemas.microsoft.com/office/drawing/2014/main" id="{63A02334-4B26-43F0-AA1D-539D55F95DBF}"/>
            </a:ext>
          </a:extLst>
        </xdr:cNvPr>
        <xdr:cNvSpPr/>
      </xdr:nvSpPr>
      <xdr:spPr>
        <a:xfrm>
          <a:off x="6659880" y="1615440"/>
          <a:ext cx="2895600" cy="306324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lt1"/>
              </a:solidFill>
              <a:effectLst/>
              <a:latin typeface="+mn-lt"/>
              <a:ea typeface="+mn-ea"/>
              <a:cs typeface="+mn-cs"/>
            </a:rPr>
            <a:t>EmployeeNumber</a:t>
          </a:r>
          <a:r>
            <a:rPr lang="en-US" sz="1200" b="1" i="1" baseline="0">
              <a:solidFill>
                <a:schemeClr val="lt1"/>
              </a:solidFill>
              <a:effectLst/>
              <a:latin typeface="+mn-lt"/>
              <a:ea typeface="+mn-ea"/>
              <a:cs typeface="+mn-cs"/>
            </a:rPr>
            <a:t> By Department</a:t>
          </a:r>
          <a:endParaRPr lang="en-US" sz="1200">
            <a:effectLst/>
          </a:endParaRPr>
        </a:p>
      </xdr:txBody>
    </xdr:sp>
    <xdr:clientData/>
  </xdr:twoCellAnchor>
  <xdr:twoCellAnchor editAs="oneCell">
    <xdr:from>
      <xdr:col>19</xdr:col>
      <xdr:colOff>541020</xdr:colOff>
      <xdr:row>19</xdr:row>
      <xdr:rowOff>83820</xdr:rowOff>
    </xdr:from>
    <xdr:to>
      <xdr:col>22</xdr:col>
      <xdr:colOff>259080</xdr:colOff>
      <xdr:row>26</xdr:row>
      <xdr:rowOff>60959</xdr:rowOff>
    </xdr:to>
    <mc:AlternateContent xmlns:mc="http://schemas.openxmlformats.org/markup-compatibility/2006" xmlns:a14="http://schemas.microsoft.com/office/drawing/2010/main">
      <mc:Choice Requires="a14">
        <xdr:graphicFrame macro="">
          <xdr:nvGraphicFramePr>
            <xdr:cNvPr id="26" name="SalarySlab 2">
              <a:extLst>
                <a:ext uri="{FF2B5EF4-FFF2-40B4-BE49-F238E27FC236}">
                  <a16:creationId xmlns:a16="http://schemas.microsoft.com/office/drawing/2014/main" id="{16360764-B5CF-47EC-B19E-278F38F6AA3C}"/>
                </a:ext>
              </a:extLst>
            </xdr:cNvPr>
            <xdr:cNvGraphicFramePr/>
          </xdr:nvGraphicFramePr>
          <xdr:xfrm>
            <a:off x="0" y="0"/>
            <a:ext cx="0" cy="0"/>
          </xdr:xfrm>
          <a:graphic>
            <a:graphicData uri="http://schemas.microsoft.com/office/drawing/2010/slicer">
              <sle:slicer xmlns:sle="http://schemas.microsoft.com/office/drawing/2010/slicer" name="SalarySlab 2"/>
            </a:graphicData>
          </a:graphic>
        </xdr:graphicFrame>
      </mc:Choice>
      <mc:Fallback xmlns="">
        <xdr:sp macro="" textlink="">
          <xdr:nvSpPr>
            <xdr:cNvPr id="0" name=""/>
            <xdr:cNvSpPr>
              <a:spLocks noTextEdit="1"/>
            </xdr:cNvSpPr>
          </xdr:nvSpPr>
          <xdr:spPr>
            <a:xfrm>
              <a:off x="12123420" y="3558540"/>
              <a:ext cx="1546860" cy="12572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556260</xdr:colOff>
      <xdr:row>13</xdr:row>
      <xdr:rowOff>175261</xdr:rowOff>
    </xdr:from>
    <xdr:to>
      <xdr:col>22</xdr:col>
      <xdr:colOff>259080</xdr:colOff>
      <xdr:row>19</xdr:row>
      <xdr:rowOff>45720</xdr:rowOff>
    </xdr:to>
    <mc:AlternateContent xmlns:mc="http://schemas.openxmlformats.org/markup-compatibility/2006" xmlns:a14="http://schemas.microsoft.com/office/drawing/2010/main">
      <mc:Choice Requires="a14">
        <xdr:graphicFrame macro="">
          <xdr:nvGraphicFramePr>
            <xdr:cNvPr id="27" name="Department 2">
              <a:extLst>
                <a:ext uri="{FF2B5EF4-FFF2-40B4-BE49-F238E27FC236}">
                  <a16:creationId xmlns:a16="http://schemas.microsoft.com/office/drawing/2014/main" id="{553AA274-ED87-4177-9321-90BF677399D3}"/>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12138660" y="2552701"/>
              <a:ext cx="1531620" cy="9677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365760</xdr:colOff>
      <xdr:row>9</xdr:row>
      <xdr:rowOff>76200</xdr:rowOff>
    </xdr:from>
    <xdr:to>
      <xdr:col>21</xdr:col>
      <xdr:colOff>525780</xdr:colOff>
      <xdr:row>12</xdr:row>
      <xdr:rowOff>45720</xdr:rowOff>
    </xdr:to>
    <xdr:sp macro="[0]!cleare_filter" textlink="">
      <xdr:nvSpPr>
        <xdr:cNvPr id="28" name="Multiplication Sign 27">
          <a:extLst>
            <a:ext uri="{FF2B5EF4-FFF2-40B4-BE49-F238E27FC236}">
              <a16:creationId xmlns:a16="http://schemas.microsoft.com/office/drawing/2014/main" id="{EE6E020C-1B1B-47A2-925B-BD2BEB4AC833}"/>
            </a:ext>
          </a:extLst>
        </xdr:cNvPr>
        <xdr:cNvSpPr/>
      </xdr:nvSpPr>
      <xdr:spPr>
        <a:xfrm>
          <a:off x="12557760" y="1722120"/>
          <a:ext cx="769620" cy="518160"/>
        </a:xfrm>
        <a:prstGeom prst="mathMultiply">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495300</xdr:colOff>
      <xdr:row>8</xdr:row>
      <xdr:rowOff>76200</xdr:rowOff>
    </xdr:from>
    <xdr:to>
      <xdr:col>19</xdr:col>
      <xdr:colOff>403860</xdr:colOff>
      <xdr:row>25</xdr:row>
      <xdr:rowOff>129540</xdr:rowOff>
    </xdr:to>
    <xdr:sp macro="" textlink="">
      <xdr:nvSpPr>
        <xdr:cNvPr id="29" name="Rectangle: Rounded Corners 28">
          <a:extLst>
            <a:ext uri="{FF2B5EF4-FFF2-40B4-BE49-F238E27FC236}">
              <a16:creationId xmlns:a16="http://schemas.microsoft.com/office/drawing/2014/main" id="{70320437-C8EF-4AA5-A583-76ED944707B5}"/>
            </a:ext>
          </a:extLst>
        </xdr:cNvPr>
        <xdr:cNvSpPr/>
      </xdr:nvSpPr>
      <xdr:spPr>
        <a:xfrm>
          <a:off x="9639300" y="1539240"/>
          <a:ext cx="2346960" cy="31623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lt1"/>
              </a:solidFill>
              <a:effectLst/>
              <a:latin typeface="+mn-lt"/>
              <a:ea typeface="+mn-ea"/>
              <a:cs typeface="+mn-cs"/>
            </a:rPr>
            <a:t>Attrition By Department</a:t>
          </a:r>
          <a:endParaRPr lang="en-US" sz="1200">
            <a:effectLst/>
          </a:endParaRPr>
        </a:p>
      </xdr:txBody>
    </xdr:sp>
    <xdr:clientData/>
  </xdr:twoCellAnchor>
  <xdr:twoCellAnchor>
    <xdr:from>
      <xdr:col>1</xdr:col>
      <xdr:colOff>106680</xdr:colOff>
      <xdr:row>8</xdr:row>
      <xdr:rowOff>137160</xdr:rowOff>
    </xdr:from>
    <xdr:to>
      <xdr:col>5</xdr:col>
      <xdr:colOff>563880</xdr:colOff>
      <xdr:row>25</xdr:row>
      <xdr:rowOff>91440</xdr:rowOff>
    </xdr:to>
    <xdr:sp macro="" textlink="">
      <xdr:nvSpPr>
        <xdr:cNvPr id="31" name="Rectangle: Rounded Corners 30">
          <a:extLst>
            <a:ext uri="{FF2B5EF4-FFF2-40B4-BE49-F238E27FC236}">
              <a16:creationId xmlns:a16="http://schemas.microsoft.com/office/drawing/2014/main" id="{A383ABC9-C8C9-451E-82FE-E00C2BA4CCE0}"/>
            </a:ext>
          </a:extLst>
        </xdr:cNvPr>
        <xdr:cNvSpPr/>
      </xdr:nvSpPr>
      <xdr:spPr>
        <a:xfrm>
          <a:off x="716280" y="1600200"/>
          <a:ext cx="2895600" cy="306324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bg1"/>
              </a:solidFill>
            </a:rPr>
            <a:t>Departments</a:t>
          </a:r>
          <a:r>
            <a:rPr lang="en-US" sz="1200" b="1" i="1" baseline="0">
              <a:solidFill>
                <a:schemeClr val="bg1"/>
              </a:solidFill>
            </a:rPr>
            <a:t> By Attrition &amp; OverTime</a:t>
          </a:r>
          <a:endParaRPr lang="en-US" sz="1200" b="1" i="1">
            <a:solidFill>
              <a:schemeClr val="bg1"/>
            </a:solidFill>
          </a:endParaRPr>
        </a:p>
      </xdr:txBody>
    </xdr:sp>
    <xdr:clientData/>
  </xdr:twoCellAnchor>
  <xdr:twoCellAnchor>
    <xdr:from>
      <xdr:col>6</xdr:col>
      <xdr:colOff>94932</xdr:colOff>
      <xdr:row>10</xdr:row>
      <xdr:rowOff>167640</xdr:rowOff>
    </xdr:from>
    <xdr:to>
      <xdr:col>10</xdr:col>
      <xdr:colOff>339775</xdr:colOff>
      <xdr:row>24</xdr:row>
      <xdr:rowOff>60960</xdr:rowOff>
    </xdr:to>
    <xdr:graphicFrame macro="">
      <xdr:nvGraphicFramePr>
        <xdr:cNvPr id="32" name="Chart 31">
          <a:extLst>
            <a:ext uri="{FF2B5EF4-FFF2-40B4-BE49-F238E27FC236}">
              <a16:creationId xmlns:a16="http://schemas.microsoft.com/office/drawing/2014/main" id="{35D41DCE-9587-4A12-BA1C-DD5E58890A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31120</xdr:colOff>
      <xdr:row>11</xdr:row>
      <xdr:rowOff>129540</xdr:rowOff>
    </xdr:from>
    <xdr:to>
      <xdr:col>15</xdr:col>
      <xdr:colOff>312419</xdr:colOff>
      <xdr:row>24</xdr:row>
      <xdr:rowOff>7620</xdr:rowOff>
    </xdr:to>
    <xdr:graphicFrame macro="">
      <xdr:nvGraphicFramePr>
        <xdr:cNvPr id="37" name="Chart 36">
          <a:extLst>
            <a:ext uri="{FF2B5EF4-FFF2-40B4-BE49-F238E27FC236}">
              <a16:creationId xmlns:a16="http://schemas.microsoft.com/office/drawing/2014/main" id="{7263494F-BF6C-4F84-9486-1864CA2A0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496886</xdr:colOff>
      <xdr:row>9</xdr:row>
      <xdr:rowOff>76200</xdr:rowOff>
    </xdr:from>
    <xdr:to>
      <xdr:col>19</xdr:col>
      <xdr:colOff>380999</xdr:colOff>
      <xdr:row>25</xdr:row>
      <xdr:rowOff>121920</xdr:rowOff>
    </xdr:to>
    <xdr:graphicFrame macro="">
      <xdr:nvGraphicFramePr>
        <xdr:cNvPr id="41" name="Chart 40">
          <a:extLst>
            <a:ext uri="{FF2B5EF4-FFF2-40B4-BE49-F238E27FC236}">
              <a16:creationId xmlns:a16="http://schemas.microsoft.com/office/drawing/2014/main" id="{F11D9D33-0696-4C84-8518-42ADF07FCA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121920</xdr:colOff>
      <xdr:row>11</xdr:row>
      <xdr:rowOff>30480</xdr:rowOff>
    </xdr:from>
    <xdr:to>
      <xdr:col>5</xdr:col>
      <xdr:colOff>482600</xdr:colOff>
      <xdr:row>25</xdr:row>
      <xdr:rowOff>7620</xdr:rowOff>
    </xdr:to>
    <xdr:graphicFrame macro="">
      <xdr:nvGraphicFramePr>
        <xdr:cNvPr id="42" name="Chart 41">
          <a:extLst>
            <a:ext uri="{FF2B5EF4-FFF2-40B4-BE49-F238E27FC236}">
              <a16:creationId xmlns:a16="http://schemas.microsoft.com/office/drawing/2014/main" id="{DCA35299-7777-45AE-AA77-D3CC66CA2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38100</xdr:colOff>
      <xdr:row>2</xdr:row>
      <xdr:rowOff>137160</xdr:rowOff>
    </xdr:from>
    <xdr:to>
      <xdr:col>22</xdr:col>
      <xdr:colOff>449580</xdr:colOff>
      <xdr:row>27</xdr:row>
      <xdr:rowOff>45720</xdr:rowOff>
    </xdr:to>
    <xdr:sp macro="" textlink="">
      <xdr:nvSpPr>
        <xdr:cNvPr id="2" name="Rectangle 1">
          <a:extLst>
            <a:ext uri="{FF2B5EF4-FFF2-40B4-BE49-F238E27FC236}">
              <a16:creationId xmlns:a16="http://schemas.microsoft.com/office/drawing/2014/main" id="{4A610D54-30C1-424E-8F01-C675CB3BD888}"/>
            </a:ext>
          </a:extLst>
        </xdr:cNvPr>
        <xdr:cNvSpPr/>
      </xdr:nvSpPr>
      <xdr:spPr>
        <a:xfrm>
          <a:off x="647700" y="502920"/>
          <a:ext cx="13213080" cy="4480560"/>
        </a:xfrm>
        <a:prstGeom prst="rect">
          <a:avLst/>
        </a:prstGeom>
        <a:solidFill>
          <a:srgbClr val="303030"/>
        </a:solidFill>
        <a:ln>
          <a:solidFill>
            <a:srgbClr val="303030"/>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53340</xdr:colOff>
      <xdr:row>2</xdr:row>
      <xdr:rowOff>144780</xdr:rowOff>
    </xdr:from>
    <xdr:to>
      <xdr:col>22</xdr:col>
      <xdr:colOff>487680</xdr:colOff>
      <xdr:row>7</xdr:row>
      <xdr:rowOff>144780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75EB6C8B-8FB3-431E-8A54-6FA23D223FDA}"/>
            </a:ext>
          </a:extLst>
        </xdr:cNvPr>
        <xdr:cNvSpPr/>
      </xdr:nvSpPr>
      <xdr:spPr>
        <a:xfrm>
          <a:off x="662940" y="510540"/>
          <a:ext cx="13235940" cy="9144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495300</xdr:colOff>
      <xdr:row>2</xdr:row>
      <xdr:rowOff>160020</xdr:rowOff>
    </xdr:from>
    <xdr:to>
      <xdr:col>8</xdr:col>
      <xdr:colOff>99060</xdr:colOff>
      <xdr:row>7</xdr:row>
      <xdr:rowOff>38100</xdr:rowOff>
    </xdr:to>
    <xdr:sp macro="" textlink="">
      <xdr:nvSpPr>
        <xdr:cNvPr id="4" name="Rectangle: Rounded Corners 3">
          <a:extLst>
            <a:ext uri="{FF2B5EF4-FFF2-40B4-BE49-F238E27FC236}">
              <a16:creationId xmlns:a16="http://schemas.microsoft.com/office/drawing/2014/main" id="{D7CFF934-4E1B-4502-BF95-7E8FA43A007B}"/>
            </a:ext>
          </a:extLst>
        </xdr:cNvPr>
        <xdr:cNvSpPr/>
      </xdr:nvSpPr>
      <xdr:spPr>
        <a:xfrm>
          <a:off x="2933700" y="525780"/>
          <a:ext cx="2042160" cy="79248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i="1"/>
            <a:t>OverView</a:t>
          </a:r>
        </a:p>
      </xdr:txBody>
    </xdr:sp>
    <xdr:clientData/>
  </xdr:twoCellAnchor>
  <xdr:twoCellAnchor editAs="oneCell">
    <xdr:from>
      <xdr:col>6</xdr:col>
      <xdr:colOff>38101</xdr:colOff>
      <xdr:row>2</xdr:row>
      <xdr:rowOff>160020</xdr:rowOff>
    </xdr:from>
    <xdr:to>
      <xdr:col>6</xdr:col>
      <xdr:colOff>541020</xdr:colOff>
      <xdr:row>5</xdr:row>
      <xdr:rowOff>114299</xdr:rowOff>
    </xdr:to>
    <xdr:pic>
      <xdr:nvPicPr>
        <xdr:cNvPr id="5" name="Picture 4">
          <a:extLst>
            <a:ext uri="{FF2B5EF4-FFF2-40B4-BE49-F238E27FC236}">
              <a16:creationId xmlns:a16="http://schemas.microsoft.com/office/drawing/2014/main" id="{A514B38C-7B78-4695-BB32-FB2C1672B8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95701" y="525780"/>
          <a:ext cx="502919" cy="502919"/>
        </a:xfrm>
        <a:prstGeom prst="rect">
          <a:avLst/>
        </a:prstGeom>
      </xdr:spPr>
    </xdr:pic>
    <xdr:clientData/>
  </xdr:twoCellAnchor>
  <xdr:twoCellAnchor>
    <xdr:from>
      <xdr:col>16</xdr:col>
      <xdr:colOff>68580</xdr:colOff>
      <xdr:row>2</xdr:row>
      <xdr:rowOff>160020</xdr:rowOff>
    </xdr:from>
    <xdr:to>
      <xdr:col>19</xdr:col>
      <xdr:colOff>281940</xdr:colOff>
      <xdr:row>7</xdr:row>
      <xdr:rowOff>38100</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0E76FB91-5423-4F1B-87D1-7B62E3892AB7}"/>
            </a:ext>
          </a:extLst>
        </xdr:cNvPr>
        <xdr:cNvSpPr/>
      </xdr:nvSpPr>
      <xdr:spPr>
        <a:xfrm>
          <a:off x="9822180" y="525780"/>
          <a:ext cx="2042160" cy="792480"/>
        </a:xfrm>
        <a:prstGeom prst="roundRect">
          <a:avLst/>
        </a:prstGeom>
        <a:solidFill>
          <a:srgbClr val="F2272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i="1"/>
            <a:t>Employee</a:t>
          </a:r>
        </a:p>
      </xdr:txBody>
    </xdr:sp>
    <xdr:clientData/>
  </xdr:twoCellAnchor>
  <xdr:twoCellAnchor>
    <xdr:from>
      <xdr:col>10</xdr:col>
      <xdr:colOff>281940</xdr:colOff>
      <xdr:row>2</xdr:row>
      <xdr:rowOff>160020</xdr:rowOff>
    </xdr:from>
    <xdr:to>
      <xdr:col>13</xdr:col>
      <xdr:colOff>495300</xdr:colOff>
      <xdr:row>7</xdr:row>
      <xdr:rowOff>38100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5390C79E-CD96-43B9-B699-DD170D15DF52}"/>
            </a:ext>
          </a:extLst>
        </xdr:cNvPr>
        <xdr:cNvSpPr/>
      </xdr:nvSpPr>
      <xdr:spPr>
        <a:xfrm>
          <a:off x="6377940" y="525780"/>
          <a:ext cx="2042160" cy="79248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i="1"/>
            <a:t>Department</a:t>
          </a:r>
        </a:p>
      </xdr:txBody>
    </xdr:sp>
    <xdr:clientData/>
  </xdr:twoCellAnchor>
  <xdr:twoCellAnchor editAs="oneCell">
    <xdr:from>
      <xdr:col>17</xdr:col>
      <xdr:colOff>160020</xdr:colOff>
      <xdr:row>2</xdr:row>
      <xdr:rowOff>160020</xdr:rowOff>
    </xdr:from>
    <xdr:to>
      <xdr:col>18</xdr:col>
      <xdr:colOff>179091</xdr:colOff>
      <xdr:row>6</xdr:row>
      <xdr:rowOff>57171</xdr:rowOff>
    </xdr:to>
    <xdr:pic>
      <xdr:nvPicPr>
        <xdr:cNvPr id="8" name="Picture 7">
          <a:extLst>
            <a:ext uri="{FF2B5EF4-FFF2-40B4-BE49-F238E27FC236}">
              <a16:creationId xmlns:a16="http://schemas.microsoft.com/office/drawing/2014/main" id="{2127F08D-B4ED-4384-BDB9-40668625EA0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523220" y="525780"/>
          <a:ext cx="628671" cy="628671"/>
        </a:xfrm>
        <a:prstGeom prst="rect">
          <a:avLst/>
        </a:prstGeom>
      </xdr:spPr>
    </xdr:pic>
    <xdr:clientData/>
  </xdr:twoCellAnchor>
  <xdr:twoCellAnchor editAs="oneCell">
    <xdr:from>
      <xdr:col>11</xdr:col>
      <xdr:colOff>424320</xdr:colOff>
      <xdr:row>2</xdr:row>
      <xdr:rowOff>160020</xdr:rowOff>
    </xdr:from>
    <xdr:to>
      <xdr:col>12</xdr:col>
      <xdr:colOff>342900</xdr:colOff>
      <xdr:row>5</xdr:row>
      <xdr:rowOff>139560</xdr:rowOff>
    </xdr:to>
    <xdr:pic>
      <xdr:nvPicPr>
        <xdr:cNvPr id="9" name="Picture 8">
          <a:extLst>
            <a:ext uri="{FF2B5EF4-FFF2-40B4-BE49-F238E27FC236}">
              <a16:creationId xmlns:a16="http://schemas.microsoft.com/office/drawing/2014/main" id="{80E6D0C6-1BF2-4FFA-86C8-B53B4ABC444F}"/>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129920" y="525780"/>
          <a:ext cx="528180" cy="528180"/>
        </a:xfrm>
        <a:prstGeom prst="rect">
          <a:avLst/>
        </a:prstGeom>
      </xdr:spPr>
    </xdr:pic>
    <xdr:clientData/>
  </xdr:twoCellAnchor>
  <xdr:twoCellAnchor>
    <xdr:from>
      <xdr:col>1</xdr:col>
      <xdr:colOff>68580</xdr:colOff>
      <xdr:row>7</xdr:row>
      <xdr:rowOff>7620</xdr:rowOff>
    </xdr:from>
    <xdr:to>
      <xdr:col>22</xdr:col>
      <xdr:colOff>457200</xdr:colOff>
      <xdr:row>8</xdr:row>
      <xdr:rowOff>0</xdr:rowOff>
    </xdr:to>
    <xdr:sp macro="" textlink="">
      <xdr:nvSpPr>
        <xdr:cNvPr id="10" name="Rectangle: Rounded Corners 9">
          <a:extLst>
            <a:ext uri="{FF2B5EF4-FFF2-40B4-BE49-F238E27FC236}">
              <a16:creationId xmlns:a16="http://schemas.microsoft.com/office/drawing/2014/main" id="{57C1508D-D0E3-4266-B883-278FB6481219}"/>
            </a:ext>
          </a:extLst>
        </xdr:cNvPr>
        <xdr:cNvSpPr/>
      </xdr:nvSpPr>
      <xdr:spPr>
        <a:xfrm>
          <a:off x="678180" y="1287780"/>
          <a:ext cx="13190220" cy="175260"/>
        </a:xfrm>
        <a:prstGeom prst="roundRect">
          <a:avLst/>
        </a:prstGeom>
        <a:solidFill>
          <a:srgbClr val="F22727"/>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38100</xdr:colOff>
      <xdr:row>8</xdr:row>
      <xdr:rowOff>99060</xdr:rowOff>
    </xdr:from>
    <xdr:to>
      <xdr:col>9</xdr:col>
      <xdr:colOff>548640</xdr:colOff>
      <xdr:row>25</xdr:row>
      <xdr:rowOff>53340</xdr:rowOff>
    </xdr:to>
    <xdr:sp macro="" textlink="">
      <xdr:nvSpPr>
        <xdr:cNvPr id="12" name="Rectangle: Rounded Corners 11">
          <a:extLst>
            <a:ext uri="{FF2B5EF4-FFF2-40B4-BE49-F238E27FC236}">
              <a16:creationId xmlns:a16="http://schemas.microsoft.com/office/drawing/2014/main" id="{CF271F99-13F3-4E1B-866B-C866D6E99692}"/>
            </a:ext>
          </a:extLst>
        </xdr:cNvPr>
        <xdr:cNvSpPr/>
      </xdr:nvSpPr>
      <xdr:spPr>
        <a:xfrm>
          <a:off x="3086100" y="1562100"/>
          <a:ext cx="2948940" cy="306324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Attrition Rate by Job Level</a:t>
          </a:r>
          <a:r>
            <a:rPr lang="en-US" sz="1200"/>
            <a:t> </a:t>
          </a:r>
          <a:endParaRPr lang="en-US" sz="1200" b="1" i="1">
            <a:solidFill>
              <a:schemeClr val="bg1"/>
            </a:solidFill>
          </a:endParaRPr>
        </a:p>
      </xdr:txBody>
    </xdr:sp>
    <xdr:clientData/>
  </xdr:twoCellAnchor>
  <xdr:twoCellAnchor>
    <xdr:from>
      <xdr:col>20</xdr:col>
      <xdr:colOff>68580</xdr:colOff>
      <xdr:row>8</xdr:row>
      <xdr:rowOff>53340</xdr:rowOff>
    </xdr:from>
    <xdr:to>
      <xdr:col>22</xdr:col>
      <xdr:colOff>243840</xdr:colOff>
      <xdr:row>11</xdr:row>
      <xdr:rowOff>144780</xdr:rowOff>
    </xdr:to>
    <xdr:sp macro="" textlink="">
      <xdr:nvSpPr>
        <xdr:cNvPr id="13" name="Rectangle: Rounded Corners 12">
          <a:extLst>
            <a:ext uri="{FF2B5EF4-FFF2-40B4-BE49-F238E27FC236}">
              <a16:creationId xmlns:a16="http://schemas.microsoft.com/office/drawing/2014/main" id="{070C197E-7373-4D7A-B094-83D1FD630AFB}"/>
            </a:ext>
          </a:extLst>
        </xdr:cNvPr>
        <xdr:cNvSpPr/>
      </xdr:nvSpPr>
      <xdr:spPr>
        <a:xfrm>
          <a:off x="12260580" y="1516380"/>
          <a:ext cx="1394460" cy="64008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Cleare Filters</a:t>
          </a:r>
        </a:p>
      </xdr:txBody>
    </xdr:sp>
    <xdr:clientData/>
  </xdr:twoCellAnchor>
  <xdr:twoCellAnchor>
    <xdr:from>
      <xdr:col>19</xdr:col>
      <xdr:colOff>480060</xdr:colOff>
      <xdr:row>12</xdr:row>
      <xdr:rowOff>15240</xdr:rowOff>
    </xdr:from>
    <xdr:to>
      <xdr:col>22</xdr:col>
      <xdr:colOff>373380</xdr:colOff>
      <xdr:row>26</xdr:row>
      <xdr:rowOff>129540</xdr:rowOff>
    </xdr:to>
    <xdr:sp macro="" textlink="">
      <xdr:nvSpPr>
        <xdr:cNvPr id="14" name="Rectangle: Rounded Corners 13">
          <a:extLst>
            <a:ext uri="{FF2B5EF4-FFF2-40B4-BE49-F238E27FC236}">
              <a16:creationId xmlns:a16="http://schemas.microsoft.com/office/drawing/2014/main" id="{6345BAE7-23A2-4B35-BE5A-8714A3857700}"/>
            </a:ext>
          </a:extLst>
        </xdr:cNvPr>
        <xdr:cNvSpPr/>
      </xdr:nvSpPr>
      <xdr:spPr>
        <a:xfrm>
          <a:off x="12062460" y="2209800"/>
          <a:ext cx="1722120" cy="267462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solidFill>
                <a:schemeClr val="lt1"/>
              </a:solidFill>
              <a:effectLst/>
              <a:latin typeface="+mn-lt"/>
              <a:ea typeface="+mn-ea"/>
              <a:cs typeface="+mn-cs"/>
            </a:rPr>
            <a:t>Filters</a:t>
          </a:r>
          <a:endParaRPr lang="en-US" sz="1200" b="1" i="1"/>
        </a:p>
      </xdr:txBody>
    </xdr:sp>
    <xdr:clientData/>
  </xdr:twoCellAnchor>
  <xdr:twoCellAnchor>
    <xdr:from>
      <xdr:col>10</xdr:col>
      <xdr:colOff>106680</xdr:colOff>
      <xdr:row>8</xdr:row>
      <xdr:rowOff>76200</xdr:rowOff>
    </xdr:from>
    <xdr:to>
      <xdr:col>14</xdr:col>
      <xdr:colOff>327660</xdr:colOff>
      <xdr:row>25</xdr:row>
      <xdr:rowOff>30480</xdr:rowOff>
    </xdr:to>
    <xdr:sp macro="" textlink="">
      <xdr:nvSpPr>
        <xdr:cNvPr id="24" name="Rectangle: Rounded Corners 23">
          <a:extLst>
            <a:ext uri="{FF2B5EF4-FFF2-40B4-BE49-F238E27FC236}">
              <a16:creationId xmlns:a16="http://schemas.microsoft.com/office/drawing/2014/main" id="{7C497DDB-782F-43AD-AEC3-E3BCCC34E357}"/>
            </a:ext>
          </a:extLst>
        </xdr:cNvPr>
        <xdr:cNvSpPr/>
      </xdr:nvSpPr>
      <xdr:spPr>
        <a:xfrm>
          <a:off x="6202680" y="1539240"/>
          <a:ext cx="2659380" cy="306324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Attrition by Stock Option Level</a:t>
          </a:r>
          <a:endParaRPr lang="en-US" sz="1200" b="1" i="1">
            <a:solidFill>
              <a:schemeClr val="bg1"/>
            </a:solidFill>
          </a:endParaRPr>
        </a:p>
      </xdr:txBody>
    </xdr:sp>
    <xdr:clientData/>
  </xdr:twoCellAnchor>
  <xdr:twoCellAnchor editAs="oneCell">
    <xdr:from>
      <xdr:col>19</xdr:col>
      <xdr:colOff>541020</xdr:colOff>
      <xdr:row>19</xdr:row>
      <xdr:rowOff>83820</xdr:rowOff>
    </xdr:from>
    <xdr:to>
      <xdr:col>22</xdr:col>
      <xdr:colOff>259080</xdr:colOff>
      <xdr:row>26</xdr:row>
      <xdr:rowOff>60959</xdr:rowOff>
    </xdr:to>
    <mc:AlternateContent xmlns:mc="http://schemas.openxmlformats.org/markup-compatibility/2006" xmlns:a14="http://schemas.microsoft.com/office/drawing/2010/main">
      <mc:Choice Requires="a14">
        <xdr:graphicFrame macro="">
          <xdr:nvGraphicFramePr>
            <xdr:cNvPr id="26" name="SalarySlab 3">
              <a:extLst>
                <a:ext uri="{FF2B5EF4-FFF2-40B4-BE49-F238E27FC236}">
                  <a16:creationId xmlns:a16="http://schemas.microsoft.com/office/drawing/2014/main" id="{87994E8E-C64A-4094-9F2A-9ADB171941AC}"/>
                </a:ext>
              </a:extLst>
            </xdr:cNvPr>
            <xdr:cNvGraphicFramePr/>
          </xdr:nvGraphicFramePr>
          <xdr:xfrm>
            <a:off x="0" y="0"/>
            <a:ext cx="0" cy="0"/>
          </xdr:xfrm>
          <a:graphic>
            <a:graphicData uri="http://schemas.microsoft.com/office/drawing/2010/slicer">
              <sle:slicer xmlns:sle="http://schemas.microsoft.com/office/drawing/2010/slicer" name="SalarySlab 3"/>
            </a:graphicData>
          </a:graphic>
        </xdr:graphicFrame>
      </mc:Choice>
      <mc:Fallback xmlns="">
        <xdr:sp macro="" textlink="">
          <xdr:nvSpPr>
            <xdr:cNvPr id="0" name=""/>
            <xdr:cNvSpPr>
              <a:spLocks noTextEdit="1"/>
            </xdr:cNvSpPr>
          </xdr:nvSpPr>
          <xdr:spPr>
            <a:xfrm>
              <a:off x="12123420" y="3589020"/>
              <a:ext cx="1546860" cy="12685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556260</xdr:colOff>
      <xdr:row>13</xdr:row>
      <xdr:rowOff>175261</xdr:rowOff>
    </xdr:from>
    <xdr:to>
      <xdr:col>22</xdr:col>
      <xdr:colOff>259080</xdr:colOff>
      <xdr:row>19</xdr:row>
      <xdr:rowOff>45720</xdr:rowOff>
    </xdr:to>
    <mc:AlternateContent xmlns:mc="http://schemas.openxmlformats.org/markup-compatibility/2006" xmlns:a14="http://schemas.microsoft.com/office/drawing/2010/main">
      <mc:Choice Requires="a14">
        <xdr:graphicFrame macro="">
          <xdr:nvGraphicFramePr>
            <xdr:cNvPr id="27" name="Department 3">
              <a:extLst>
                <a:ext uri="{FF2B5EF4-FFF2-40B4-BE49-F238E27FC236}">
                  <a16:creationId xmlns:a16="http://schemas.microsoft.com/office/drawing/2014/main" id="{5F25E481-431F-4412-AE9A-74E0639B69C6}"/>
                </a:ext>
              </a:extLst>
            </xdr:cNvPr>
            <xdr:cNvGraphicFramePr/>
          </xdr:nvGraphicFramePr>
          <xdr:xfrm>
            <a:off x="0" y="0"/>
            <a:ext cx="0" cy="0"/>
          </xdr:xfrm>
          <a:graphic>
            <a:graphicData uri="http://schemas.microsoft.com/office/drawing/2010/slicer">
              <sle:slicer xmlns:sle="http://schemas.microsoft.com/office/drawing/2010/slicer" name="Department 3"/>
            </a:graphicData>
          </a:graphic>
        </xdr:graphicFrame>
      </mc:Choice>
      <mc:Fallback xmlns="">
        <xdr:sp macro="" textlink="">
          <xdr:nvSpPr>
            <xdr:cNvPr id="0" name=""/>
            <xdr:cNvSpPr>
              <a:spLocks noTextEdit="1"/>
            </xdr:cNvSpPr>
          </xdr:nvSpPr>
          <xdr:spPr>
            <a:xfrm>
              <a:off x="12138660" y="2573556"/>
              <a:ext cx="1531620" cy="977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365760</xdr:colOff>
      <xdr:row>9</xdr:row>
      <xdr:rowOff>76200</xdr:rowOff>
    </xdr:from>
    <xdr:to>
      <xdr:col>21</xdr:col>
      <xdr:colOff>525780</xdr:colOff>
      <xdr:row>12</xdr:row>
      <xdr:rowOff>45720</xdr:rowOff>
    </xdr:to>
    <xdr:sp macro="[0]!cleare_filter" textlink="">
      <xdr:nvSpPr>
        <xdr:cNvPr id="28" name="Multiplication Sign 27">
          <a:extLst>
            <a:ext uri="{FF2B5EF4-FFF2-40B4-BE49-F238E27FC236}">
              <a16:creationId xmlns:a16="http://schemas.microsoft.com/office/drawing/2014/main" id="{6BD09833-A051-4F6E-A287-578CB69FF825}"/>
            </a:ext>
          </a:extLst>
        </xdr:cNvPr>
        <xdr:cNvSpPr/>
      </xdr:nvSpPr>
      <xdr:spPr>
        <a:xfrm>
          <a:off x="12557760" y="1722120"/>
          <a:ext cx="769620" cy="518160"/>
        </a:xfrm>
        <a:prstGeom prst="mathMultiply">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525780</xdr:colOff>
      <xdr:row>8</xdr:row>
      <xdr:rowOff>114300</xdr:rowOff>
    </xdr:from>
    <xdr:to>
      <xdr:col>19</xdr:col>
      <xdr:colOff>152400</xdr:colOff>
      <xdr:row>25</xdr:row>
      <xdr:rowOff>68580</xdr:rowOff>
    </xdr:to>
    <xdr:sp macro="" textlink="">
      <xdr:nvSpPr>
        <xdr:cNvPr id="29" name="Rectangle: Rounded Corners 28">
          <a:extLst>
            <a:ext uri="{FF2B5EF4-FFF2-40B4-BE49-F238E27FC236}">
              <a16:creationId xmlns:a16="http://schemas.microsoft.com/office/drawing/2014/main" id="{FE4D21BE-D0BA-492A-B3F5-9292E9A0BB22}"/>
            </a:ext>
          </a:extLst>
        </xdr:cNvPr>
        <xdr:cNvSpPr/>
      </xdr:nvSpPr>
      <xdr:spPr>
        <a:xfrm>
          <a:off x="9060180" y="1577340"/>
          <a:ext cx="2674620" cy="306324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Attrition Rate by OverTime</a:t>
          </a:r>
          <a:endParaRPr lang="en-US" sz="1200" b="1" i="1">
            <a:solidFill>
              <a:schemeClr val="bg1"/>
            </a:solidFill>
          </a:endParaRPr>
        </a:p>
      </xdr:txBody>
    </xdr:sp>
    <xdr:clientData/>
  </xdr:twoCellAnchor>
  <xdr:twoCellAnchor>
    <xdr:from>
      <xdr:col>1</xdr:col>
      <xdr:colOff>137160</xdr:colOff>
      <xdr:row>8</xdr:row>
      <xdr:rowOff>144780</xdr:rowOff>
    </xdr:from>
    <xdr:to>
      <xdr:col>4</xdr:col>
      <xdr:colOff>487680</xdr:colOff>
      <xdr:row>13</xdr:row>
      <xdr:rowOff>106680</xdr:rowOff>
    </xdr:to>
    <xdr:sp macro="" textlink="">
      <xdr:nvSpPr>
        <xdr:cNvPr id="32" name="Rectangle: Rounded Corners 31">
          <a:extLst>
            <a:ext uri="{FF2B5EF4-FFF2-40B4-BE49-F238E27FC236}">
              <a16:creationId xmlns:a16="http://schemas.microsoft.com/office/drawing/2014/main" id="{63765624-D97B-4A5D-9AB2-ADD7DA6BFA6C}"/>
            </a:ext>
          </a:extLst>
        </xdr:cNvPr>
        <xdr:cNvSpPr/>
      </xdr:nvSpPr>
      <xdr:spPr>
        <a:xfrm>
          <a:off x="746760" y="1607820"/>
          <a:ext cx="2179320" cy="8763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i="1">
              <a:solidFill>
                <a:schemeClr val="bg1"/>
              </a:solidFill>
            </a:rPr>
            <a:t>Total</a:t>
          </a:r>
          <a:r>
            <a:rPr lang="en-US" sz="1200" b="1" i="1" baseline="0">
              <a:solidFill>
                <a:schemeClr val="bg1"/>
              </a:solidFill>
            </a:rPr>
            <a:t> Employee</a:t>
          </a:r>
          <a:endParaRPr lang="en-US" sz="1200" b="1" i="1">
            <a:solidFill>
              <a:schemeClr val="bg1"/>
            </a:solidFill>
          </a:endParaRPr>
        </a:p>
      </xdr:txBody>
    </xdr:sp>
    <xdr:clientData/>
  </xdr:twoCellAnchor>
  <xdr:oneCellAnchor>
    <xdr:from>
      <xdr:col>1</xdr:col>
      <xdr:colOff>243840</xdr:colOff>
      <xdr:row>9</xdr:row>
      <xdr:rowOff>60960</xdr:rowOff>
    </xdr:from>
    <xdr:ext cx="1150620" cy="516020"/>
    <xdr:sp macro="" textlink="">
      <xdr:nvSpPr>
        <xdr:cNvPr id="33" name="TextBox 32">
          <a:extLst>
            <a:ext uri="{FF2B5EF4-FFF2-40B4-BE49-F238E27FC236}">
              <a16:creationId xmlns:a16="http://schemas.microsoft.com/office/drawing/2014/main" id="{70F0C05F-6CBF-4D68-B55A-56E3DC12CB32}"/>
            </a:ext>
          </a:extLst>
        </xdr:cNvPr>
        <xdr:cNvSpPr txBox="1"/>
      </xdr:nvSpPr>
      <xdr:spPr>
        <a:xfrm>
          <a:off x="853440" y="1706880"/>
          <a:ext cx="1150620" cy="5160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2800" b="1" i="0" u="none" strike="noStrike">
              <a:solidFill>
                <a:schemeClr val="bg1"/>
              </a:solidFill>
              <a:effectLst/>
              <a:latin typeface="+mn-lt"/>
              <a:ea typeface="+mn-ea"/>
              <a:cs typeface="+mn-cs"/>
            </a:rPr>
            <a:t>1480</a:t>
          </a:r>
          <a:r>
            <a:rPr lang="en-US" sz="2800" b="1">
              <a:solidFill>
                <a:schemeClr val="bg1"/>
              </a:solidFill>
            </a:rPr>
            <a:t>  </a:t>
          </a:r>
        </a:p>
      </xdr:txBody>
    </xdr:sp>
    <xdr:clientData/>
  </xdr:oneCellAnchor>
  <xdr:twoCellAnchor editAs="oneCell">
    <xdr:from>
      <xdr:col>3</xdr:col>
      <xdr:colOff>152400</xdr:colOff>
      <xdr:row>8</xdr:row>
      <xdr:rowOff>167640</xdr:rowOff>
    </xdr:from>
    <xdr:to>
      <xdr:col>4</xdr:col>
      <xdr:colOff>281940</xdr:colOff>
      <xdr:row>12</xdr:row>
      <xdr:rowOff>175260</xdr:rowOff>
    </xdr:to>
    <xdr:pic>
      <xdr:nvPicPr>
        <xdr:cNvPr id="36" name="Picture 35">
          <a:extLst>
            <a:ext uri="{FF2B5EF4-FFF2-40B4-BE49-F238E27FC236}">
              <a16:creationId xmlns:a16="http://schemas.microsoft.com/office/drawing/2014/main" id="{C466A347-BE9F-419C-B539-D5EA7615076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81200" y="1630680"/>
          <a:ext cx="739140" cy="739140"/>
        </a:xfrm>
        <a:prstGeom prst="rect">
          <a:avLst/>
        </a:prstGeom>
      </xdr:spPr>
    </xdr:pic>
    <xdr:clientData/>
  </xdr:twoCellAnchor>
  <xdr:twoCellAnchor>
    <xdr:from>
      <xdr:col>1</xdr:col>
      <xdr:colOff>129540</xdr:colOff>
      <xdr:row>14</xdr:row>
      <xdr:rowOff>83820</xdr:rowOff>
    </xdr:from>
    <xdr:to>
      <xdr:col>4</xdr:col>
      <xdr:colOff>480060</xdr:colOff>
      <xdr:row>19</xdr:row>
      <xdr:rowOff>45720</xdr:rowOff>
    </xdr:to>
    <xdr:sp macro="" textlink="">
      <xdr:nvSpPr>
        <xdr:cNvPr id="37" name="Rectangle: Rounded Corners 36">
          <a:extLst>
            <a:ext uri="{FF2B5EF4-FFF2-40B4-BE49-F238E27FC236}">
              <a16:creationId xmlns:a16="http://schemas.microsoft.com/office/drawing/2014/main" id="{701F2A33-B615-4CC5-868A-F346AA4DD6AA}"/>
            </a:ext>
          </a:extLst>
        </xdr:cNvPr>
        <xdr:cNvSpPr/>
      </xdr:nvSpPr>
      <xdr:spPr>
        <a:xfrm>
          <a:off x="739140" y="2644140"/>
          <a:ext cx="2179320" cy="8763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i="1">
              <a:solidFill>
                <a:schemeClr val="bg1"/>
              </a:solidFill>
            </a:rPr>
            <a:t>SatisfactionScore</a:t>
          </a:r>
        </a:p>
      </xdr:txBody>
    </xdr:sp>
    <xdr:clientData/>
  </xdr:twoCellAnchor>
  <xdr:oneCellAnchor>
    <xdr:from>
      <xdr:col>1</xdr:col>
      <xdr:colOff>266700</xdr:colOff>
      <xdr:row>15</xdr:row>
      <xdr:rowOff>53340</xdr:rowOff>
    </xdr:from>
    <xdr:ext cx="944880" cy="381000"/>
    <xdr:sp macro="" textlink="">
      <xdr:nvSpPr>
        <xdr:cNvPr id="38" name="TextBox 37">
          <a:extLst>
            <a:ext uri="{FF2B5EF4-FFF2-40B4-BE49-F238E27FC236}">
              <a16:creationId xmlns:a16="http://schemas.microsoft.com/office/drawing/2014/main" id="{D00D05AA-6E91-F96F-4833-29EF55A3E579}"/>
            </a:ext>
          </a:extLst>
        </xdr:cNvPr>
        <xdr:cNvSpPr txBox="1"/>
      </xdr:nvSpPr>
      <xdr:spPr>
        <a:xfrm>
          <a:off x="876300" y="2796540"/>
          <a:ext cx="944880"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b="1" i="0" u="none" strike="noStrike">
              <a:solidFill>
                <a:schemeClr val="bg1"/>
              </a:solidFill>
              <a:effectLst/>
              <a:latin typeface="+mn-lt"/>
              <a:ea typeface="+mn-ea"/>
              <a:cs typeface="+mn-cs"/>
            </a:rPr>
            <a:t>2.73</a:t>
          </a:r>
          <a:r>
            <a:rPr lang="en-US" sz="2800"/>
            <a:t> </a:t>
          </a:r>
          <a:endParaRPr lang="en-US" sz="2800" b="1" i="0" u="none" strike="noStrike">
            <a:solidFill>
              <a:schemeClr val="bg1"/>
            </a:solidFill>
            <a:effectLst/>
            <a:latin typeface="+mn-lt"/>
            <a:ea typeface="+mn-ea"/>
            <a:cs typeface="+mn-cs"/>
          </a:endParaRPr>
        </a:p>
      </xdr:txBody>
    </xdr:sp>
    <xdr:clientData/>
  </xdr:oneCellAnchor>
  <xdr:twoCellAnchor editAs="oneCell">
    <xdr:from>
      <xdr:col>3</xdr:col>
      <xdr:colOff>281940</xdr:colOff>
      <xdr:row>14</xdr:row>
      <xdr:rowOff>137160</xdr:rowOff>
    </xdr:from>
    <xdr:to>
      <xdr:col>4</xdr:col>
      <xdr:colOff>274320</xdr:colOff>
      <xdr:row>18</xdr:row>
      <xdr:rowOff>7620</xdr:rowOff>
    </xdr:to>
    <xdr:pic>
      <xdr:nvPicPr>
        <xdr:cNvPr id="40" name="Picture 39">
          <a:extLst>
            <a:ext uri="{FF2B5EF4-FFF2-40B4-BE49-F238E27FC236}">
              <a16:creationId xmlns:a16="http://schemas.microsoft.com/office/drawing/2014/main" id="{CD0D8A24-7F64-044F-4FBC-8878F199196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110740" y="2697480"/>
          <a:ext cx="601980" cy="601980"/>
        </a:xfrm>
        <a:prstGeom prst="rect">
          <a:avLst/>
        </a:prstGeom>
      </xdr:spPr>
    </xdr:pic>
    <xdr:clientData/>
  </xdr:twoCellAnchor>
  <xdr:twoCellAnchor>
    <xdr:from>
      <xdr:col>1</xdr:col>
      <xdr:colOff>152400</xdr:colOff>
      <xdr:row>20</xdr:row>
      <xdr:rowOff>45720</xdr:rowOff>
    </xdr:from>
    <xdr:to>
      <xdr:col>4</xdr:col>
      <xdr:colOff>502920</xdr:colOff>
      <xdr:row>25</xdr:row>
      <xdr:rowOff>7620</xdr:rowOff>
    </xdr:to>
    <xdr:sp macro="" textlink="">
      <xdr:nvSpPr>
        <xdr:cNvPr id="41" name="Rectangle: Rounded Corners 40">
          <a:extLst>
            <a:ext uri="{FF2B5EF4-FFF2-40B4-BE49-F238E27FC236}">
              <a16:creationId xmlns:a16="http://schemas.microsoft.com/office/drawing/2014/main" id="{D8CB5AF7-E3F8-493E-B100-1A3DBEEFBB04}"/>
            </a:ext>
          </a:extLst>
        </xdr:cNvPr>
        <xdr:cNvSpPr/>
      </xdr:nvSpPr>
      <xdr:spPr>
        <a:xfrm>
          <a:off x="762000" y="3703320"/>
          <a:ext cx="2179320" cy="876300"/>
        </a:xfrm>
        <a:prstGeom prst="roundRect">
          <a:avLst/>
        </a:prstGeom>
        <a:solidFill>
          <a:srgbClr val="4C4F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i="1">
              <a:solidFill>
                <a:schemeClr val="bg1"/>
              </a:solidFill>
            </a:rPr>
            <a:t>AVG Tenure</a:t>
          </a:r>
        </a:p>
      </xdr:txBody>
    </xdr:sp>
    <xdr:clientData/>
  </xdr:twoCellAnchor>
  <xdr:oneCellAnchor>
    <xdr:from>
      <xdr:col>1</xdr:col>
      <xdr:colOff>274320</xdr:colOff>
      <xdr:row>21</xdr:row>
      <xdr:rowOff>45720</xdr:rowOff>
    </xdr:from>
    <xdr:ext cx="701040" cy="396240"/>
    <xdr:sp macro="" textlink="">
      <xdr:nvSpPr>
        <xdr:cNvPr id="45" name="TextBox 44">
          <a:extLst>
            <a:ext uri="{FF2B5EF4-FFF2-40B4-BE49-F238E27FC236}">
              <a16:creationId xmlns:a16="http://schemas.microsoft.com/office/drawing/2014/main" id="{E97CE64C-5FE9-483B-ECA9-1F7FB0B2F56A}"/>
            </a:ext>
          </a:extLst>
        </xdr:cNvPr>
        <xdr:cNvSpPr txBox="1"/>
      </xdr:nvSpPr>
      <xdr:spPr>
        <a:xfrm>
          <a:off x="883920" y="3886200"/>
          <a:ext cx="701040" cy="396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i="0" u="none" strike="noStrike">
              <a:solidFill>
                <a:schemeClr val="bg1"/>
              </a:solidFill>
              <a:effectLst/>
              <a:latin typeface="+mn-lt"/>
              <a:ea typeface="+mn-ea"/>
              <a:cs typeface="+mn-cs"/>
            </a:rPr>
            <a:t>7</a:t>
          </a:r>
          <a:r>
            <a:rPr lang="en-US"/>
            <a:t> </a:t>
          </a:r>
          <a:endParaRPr lang="en-US" sz="1100"/>
        </a:p>
      </xdr:txBody>
    </xdr:sp>
    <xdr:clientData/>
  </xdr:oneCellAnchor>
  <xdr:twoCellAnchor editAs="oneCell">
    <xdr:from>
      <xdr:col>3</xdr:col>
      <xdr:colOff>264696</xdr:colOff>
      <xdr:row>20</xdr:row>
      <xdr:rowOff>177144</xdr:rowOff>
    </xdr:from>
    <xdr:to>
      <xdr:col>4</xdr:col>
      <xdr:colOff>264016</xdr:colOff>
      <xdr:row>24</xdr:row>
      <xdr:rowOff>48127</xdr:rowOff>
    </xdr:to>
    <xdr:pic>
      <xdr:nvPicPr>
        <xdr:cNvPr id="47" name="Picture 46">
          <a:extLst>
            <a:ext uri="{FF2B5EF4-FFF2-40B4-BE49-F238E27FC236}">
              <a16:creationId xmlns:a16="http://schemas.microsoft.com/office/drawing/2014/main" id="{7F85E1D2-F020-E148-8A4A-FB48FCBC491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093496" y="3866828"/>
          <a:ext cx="608920" cy="608920"/>
        </a:xfrm>
        <a:prstGeom prst="rect">
          <a:avLst/>
        </a:prstGeom>
      </xdr:spPr>
    </xdr:pic>
    <xdr:clientData/>
  </xdr:twoCellAnchor>
  <xdr:twoCellAnchor>
    <xdr:from>
      <xdr:col>5</xdr:col>
      <xdr:colOff>72188</xdr:colOff>
      <xdr:row>11</xdr:row>
      <xdr:rowOff>64168</xdr:rowOff>
    </xdr:from>
    <xdr:to>
      <xdr:col>9</xdr:col>
      <xdr:colOff>393031</xdr:colOff>
      <xdr:row>23</xdr:row>
      <xdr:rowOff>88231</xdr:rowOff>
    </xdr:to>
    <xdr:graphicFrame macro="">
      <xdr:nvGraphicFramePr>
        <xdr:cNvPr id="48" name="Chart 47">
          <a:extLst>
            <a:ext uri="{FF2B5EF4-FFF2-40B4-BE49-F238E27FC236}">
              <a16:creationId xmlns:a16="http://schemas.microsoft.com/office/drawing/2014/main" id="{90034962-AC27-44D7-83E9-5AE1C03ED5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160420</xdr:colOff>
      <xdr:row>10</xdr:row>
      <xdr:rowOff>136358</xdr:rowOff>
    </xdr:from>
    <xdr:to>
      <xdr:col>14</xdr:col>
      <xdr:colOff>232611</xdr:colOff>
      <xdr:row>24</xdr:row>
      <xdr:rowOff>8021</xdr:rowOff>
    </xdr:to>
    <xdr:graphicFrame macro="">
      <xdr:nvGraphicFramePr>
        <xdr:cNvPr id="49" name="Chart 48">
          <a:extLst>
            <a:ext uri="{FF2B5EF4-FFF2-40B4-BE49-F238E27FC236}">
              <a16:creationId xmlns:a16="http://schemas.microsoft.com/office/drawing/2014/main" id="{7761964C-D09D-4855-ABC8-65628D615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24063</xdr:colOff>
      <xdr:row>10</xdr:row>
      <xdr:rowOff>152400</xdr:rowOff>
    </xdr:from>
    <xdr:to>
      <xdr:col>18</xdr:col>
      <xdr:colOff>529389</xdr:colOff>
      <xdr:row>24</xdr:row>
      <xdr:rowOff>40105</xdr:rowOff>
    </xdr:to>
    <xdr:graphicFrame macro="">
      <xdr:nvGraphicFramePr>
        <xdr:cNvPr id="50" name="Chart 49">
          <a:extLst>
            <a:ext uri="{FF2B5EF4-FFF2-40B4-BE49-F238E27FC236}">
              <a16:creationId xmlns:a16="http://schemas.microsoft.com/office/drawing/2014/main" id="{74AFFE1C-A032-4C30-9647-A53C2F5CA0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2.051655324074" createdVersion="8" refreshedVersion="8" minRefreshableVersion="3" recordCount="0" supportSubquery="1" supportAdvancedDrill="1" xr:uid="{3653944C-4530-4469-8BCE-89EB46AB95CC}">
  <cacheSource type="external" connectionId="3"/>
  <cacheFields count="2">
    <cacheField name="[Measures].[AttritionRate]" caption="AttritionRate" numFmtId="0" hierarchy="39" level="32767"/>
    <cacheField name="[HR_Analytics  2].[JobLevel].[JobLevel]" caption="JobLevel" numFmtId="0" hierarchy="16"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HR_Analytics  2].[JobLevel].&amp;[1]"/>
            <x15:cachedUniqueName index="1" name="[HR_Analytics  2].[JobLevel].&amp;[2]"/>
            <x15:cachedUniqueName index="2" name="[HR_Analytics  2].[JobLevel].&amp;[3]"/>
            <x15:cachedUniqueName index="3" name="[HR_Analytics  2].[JobLevel].&amp;[4]"/>
            <x15:cachedUniqueName index="4" name="[HR_Analytics  2].[JobLevel].&amp;[5]"/>
          </x15:cachedUniqueNames>
        </ext>
      </extLst>
    </cacheField>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2" memberValueDatatype="20" unbalanced="0">
      <fieldsUsage count="2">
        <fieldUsage x="-1"/>
        <fieldUsage x="1"/>
      </fieldsUsage>
    </cacheHierarchy>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oneField="1">
      <fieldsUsage count="1">
        <fieldUsage x="0"/>
      </fieldsUsage>
    </cacheHierarchy>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2.043937499999" createdVersion="8" refreshedVersion="8" minRefreshableVersion="3" recordCount="0" supportSubquery="1" supportAdvancedDrill="1" xr:uid="{00CC8732-BCF6-4572-870E-2C509EA68575}">
  <cacheSource type="external" connectionId="3"/>
  <cacheFields count="1">
    <cacheField name="[Measures].[Average of YearsAtCompany]" caption="Average of YearsAtCompany" numFmtId="0" hierarchy="50"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2.037718402775" createdVersion="8" refreshedVersion="8" minRefreshableVersion="3" recordCount="0" supportSubquery="1" supportAdvancedDrill="1" xr:uid="{E1421D68-DA04-4097-9F0F-E01AB2BDAC2B}">
  <cacheSource type="external" connectionId="3"/>
  <cacheFields count="3">
    <cacheField name="[HR_Analytics  2].[Department].[Department]" caption="Department" numFmtId="0" hierarchy="6" level="1">
      <sharedItems count="3">
        <s v="Human Resources"/>
        <s v="Research &amp; Development"/>
        <s v="Sales"/>
      </sharedItems>
    </cacheField>
    <cacheField name="[Measures].[OverTimeRate]" caption="OverTimeRate" numFmtId="0" hierarchy="40" level="32767"/>
    <cacheField name="[Measures].[AttritionRate]" caption="AttritionRate" numFmtId="0" hierarchy="39"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2" memberValueDatatype="130" unbalanced="0">
      <fieldsUsage count="2">
        <fieldUsage x="-1"/>
        <fieldUsage x="0"/>
      </fieldsUsage>
    </cacheHierarchy>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oneField="1">
      <fieldsUsage count="1">
        <fieldUsage x="2"/>
      </fieldsUsage>
    </cacheHierarchy>
    <cacheHierarchy uniqueName="[Measures].[OverTimeRate]" caption="OverTimeRate" measure="1" displayFolder="" measureGroup="HR_Analytics  2" count="0" oneField="1">
      <fieldsUsage count="1">
        <fieldUsage x="1"/>
      </fieldsUsage>
    </cacheHierarchy>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984478587961" createdVersion="8" refreshedVersion="8" minRefreshableVersion="3" recordCount="0" supportSubquery="1" supportAdvancedDrill="1" xr:uid="{953B81F5-A6B6-407A-B895-E6DA0B69D020}">
  <cacheSource type="external" connectionId="3"/>
  <cacheFields count="2">
    <cacheField name="[HR_Analytics  2].[Department].[Department]" caption="Department" numFmtId="0" hierarchy="6" level="1">
      <sharedItems count="3">
        <s v="Human Resources"/>
        <s v="Research &amp; Development"/>
        <s v="Sales"/>
      </sharedItems>
    </cacheField>
    <cacheField name="[Measures].[Average of PerformanceRating]" caption="Average of PerformanceRating" numFmtId="0" hierarchy="48"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2" memberValueDatatype="130" unbalanced="0">
      <fieldsUsage count="2">
        <fieldUsage x="-1"/>
        <fieldUsage x="0"/>
      </fieldsUsage>
    </cacheHierarchy>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972492129629" createdVersion="8" refreshedVersion="8" minRefreshableVersion="3" recordCount="0" supportSubquery="1" supportAdvancedDrill="1" xr:uid="{A8ECF547-544D-47F4-8206-403BD1E2450F}">
  <cacheSource type="external" connectionId="3"/>
  <cacheFields count="2">
    <cacheField name="[HR_Analytics  2].[Department].[Department]" caption="Department" numFmtId="0" hierarchy="6" level="1">
      <sharedItems count="3">
        <s v="Human Resources"/>
        <s v="Research &amp; Development"/>
        <s v="Sales"/>
      </sharedItems>
    </cacheField>
    <cacheField name="[Measures].[AttritionRate]" caption="AttritionRate" numFmtId="0" hierarchy="39"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2" memberValueDatatype="130" unbalanced="0">
      <fieldsUsage count="2">
        <fieldUsage x="-1"/>
        <fieldUsage x="0"/>
      </fieldsUsage>
    </cacheHierarchy>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oneField="1">
      <fieldsUsage count="1">
        <fieldUsage x="1"/>
      </fieldsUsage>
    </cacheHierarchy>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965689351855" createdVersion="8" refreshedVersion="8" minRefreshableVersion="3" recordCount="0" supportSubquery="1" supportAdvancedDrill="1" xr:uid="{186110BD-BF44-4D4B-B2A0-291D984F9D58}">
  <cacheSource type="external" connectionId="3"/>
  <cacheFields count="2">
    <cacheField name="[HR_Analytics  2].[Department].[Department]" caption="Department" numFmtId="0" hierarchy="6" level="1">
      <sharedItems count="3">
        <s v="Human Resources"/>
        <s v="Research &amp; Development"/>
        <s v="Sales"/>
      </sharedItems>
    </cacheField>
    <cacheField name="[Measures].[Sum of EmployeeNumber]" caption="Sum of EmployeeNumber" numFmtId="0" hierarchy="45"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2" memberValueDatatype="130" unbalanced="0">
      <fieldsUsage count="2">
        <fieldUsage x="-1"/>
        <fieldUsage x="0"/>
      </fieldsUsage>
    </cacheHierarchy>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815807754632" createdVersion="8" refreshedVersion="8" minRefreshableVersion="3" recordCount="0" supportSubquery="1" supportAdvancedDrill="1" xr:uid="{A78CAA56-84CE-4EBD-9E14-07072EFB1014}">
  <cacheSource type="external" connectionId="3"/>
  <cacheFields count="2">
    <cacheField name="[Measures].[SatisfactionScore]" caption="SatisfactionScore" numFmtId="0" hierarchy="41" level="32767"/>
    <cacheField name="[HR_Analytics  2].[Department].[Department]" caption="Department" numFmtId="0" hierarchy="6" level="1">
      <sharedItems count="3">
        <s v="Human Resources"/>
        <s v="Research &amp; Development"/>
        <s v="Sales"/>
      </sharedItems>
    </cacheField>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2" memberValueDatatype="130" unbalanced="0">
      <fieldsUsage count="2">
        <fieldUsage x="-1"/>
        <fieldUsage x="1"/>
      </fieldsUsage>
    </cacheHierarchy>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cacheHierarchy uniqueName="[Measures].[SatisfactionScore]" caption="SatisfactionScore" measure="1" displayFolder="" measureGroup="HR_Analytics  2" count="0" oneField="1">
      <fieldsUsage count="1">
        <fieldUsage x="0"/>
      </fieldsUsage>
    </cacheHierarchy>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81545613426" createdVersion="8" refreshedVersion="8" minRefreshableVersion="3" recordCount="0" supportSubquery="1" supportAdvancedDrill="1" xr:uid="{282F98E7-86F0-4A5C-8B23-CCFC704FF7D7}">
  <cacheSource type="external" connectionId="3"/>
  <cacheFields count="2">
    <cacheField name="[Measures].[OverTimeRate]" caption="OverTimeRate" numFmtId="0" hierarchy="40" level="32767"/>
    <cacheField name="[HR_Analytics  2].[JobRole].[JobRole]" caption="JobRole" numFmtId="0" hierarchy="17" level="1">
      <sharedItems count="9">
        <s v="Healthcare Representative"/>
        <s v="Human Resources"/>
        <s v="Laboratory Technician"/>
        <s v="Manager"/>
        <s v="Manufacturing Director"/>
        <s v="Research Director"/>
        <s v="Research Scientist"/>
        <s v="Sales Executive"/>
        <s v="Sales Representative"/>
      </sharedItems>
    </cacheField>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2" memberValueDatatype="130" unbalanced="0">
      <fieldsUsage count="2">
        <fieldUsage x="-1"/>
        <fieldUsage x="1"/>
      </fieldsUsage>
    </cacheHierarchy>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oneField="1">
      <fieldsUsage count="1">
        <fieldUsage x="0"/>
      </fieldsUsage>
    </cacheHierarchy>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809913425925" createdVersion="8" refreshedVersion="8" minRefreshableVersion="3" recordCount="0" supportSubquery="1" supportAdvancedDrill="1" xr:uid="{CEA28C26-83EA-4EFE-8CC7-5F1213BBA744}">
  <cacheSource type="external" connectionId="3"/>
  <cacheFields count="1">
    <cacheField name="[Measures].[OverTimeRate]" caption="OverTimeRate" numFmtId="0" hierarchy="40"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oneField="1">
      <fieldsUsage count="1">
        <fieldUsage x="0"/>
      </fieldsUsage>
    </cacheHierarchy>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809912962963" createdVersion="8" refreshedVersion="8" minRefreshableVersion="3" recordCount="0" supportSubquery="1" supportAdvancedDrill="1" xr:uid="{83CC9B07-3444-47D7-B453-FD4BCA0D0C86}">
  <cacheSource type="external" connectionId="3"/>
  <cacheFields count="1">
    <cacheField name="[Measures].[AttritionRate]" caption="AttritionRate" numFmtId="0" hierarchy="39"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oneField="1">
      <fieldsUsage count="1">
        <fieldUsage x="0"/>
      </fieldsUsage>
    </cacheHierarchy>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809912037039" createdVersion="8" refreshedVersion="8" minRefreshableVersion="3" recordCount="0" supportSubquery="1" supportAdvancedDrill="1" xr:uid="{19B2697F-D3E5-4D1C-A3C6-6F17E488E921}">
  <cacheSource type="external" connectionId="3"/>
  <cacheFields count="1">
    <cacheField name="[Measures].[TotalEmlpoyees]" caption="TotalEmlpoyees" numFmtId="0" hierarchy="38"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oneField="1">
      <fieldsUsage count="1">
        <fieldUsage x="0"/>
      </fieldsUsage>
    </cacheHierarchy>
    <cacheHierarchy uniqueName="[Measures].[AttritionRate]" caption="AttritionRate" measure="1" displayFolder="" measureGroup="HR_Analytics  2" count="0"/>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814561805557" createdVersion="8" refreshedVersion="8" minRefreshableVersion="3" recordCount="0" supportSubquery="1" supportAdvancedDrill="1" xr:uid="{E9AD465E-F738-43C6-A0D0-6AC84F19B4FB}">
  <cacheSource type="external" connectionId="3"/>
  <cacheFields count="2">
    <cacheField name="[Measures].[AttritionRate]" caption="AttritionRate" numFmtId="0" hierarchy="39" level="32767"/>
    <cacheField name="[HR_Analytics  2].[JobRole].[JobRole]" caption="JobRole" numFmtId="0" hierarchy="17" level="1">
      <sharedItems count="9">
        <s v="Healthcare Representative"/>
        <s v="Human Resources"/>
        <s v="Laboratory Technician"/>
        <s v="Manager"/>
        <s v="Manufacturing Director"/>
        <s v="Research Director"/>
        <s v="Research Scientist"/>
        <s v="Sales Executive"/>
        <s v="Sales Representative"/>
      </sharedItems>
    </cacheField>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2" memberValueDatatype="130" unbalanced="0">
      <fieldsUsage count="2">
        <fieldUsage x="-1"/>
        <fieldUsage x="1"/>
      </fieldsUsage>
    </cacheHierarchy>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oneField="1">
      <fieldsUsage count="1">
        <fieldUsage x="0"/>
      </fieldsUsage>
    </cacheHierarchy>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813474884257" createdVersion="8" refreshedVersion="8" minRefreshableVersion="3" recordCount="0" supportSubquery="1" supportAdvancedDrill="1" xr:uid="{1B4FC09E-37F7-498C-9F6B-AE326DA00DD7}">
  <cacheSource type="external" connectionId="3"/>
  <cacheFields count="1">
    <cacheField name="[Measures].[MonthelyIncome]" caption="MonthelyIncome" numFmtId="0" hierarchy="42"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oneField="1">
      <fieldsUsage count="1">
        <fieldUsage x="0"/>
      </fieldsUsage>
    </cacheHierarchy>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80991087963" createdVersion="8" refreshedVersion="8" minRefreshableVersion="3" recordCount="0" supportSubquery="1" supportAdvancedDrill="1" xr:uid="{012EE989-8FAE-407B-8A00-70DE2F584590}">
  <cacheSource type="external" connectionId="3"/>
  <cacheFields count="1">
    <cacheField name="[Measures].[SatisfactionScore]" caption="SatisfactionScore" numFmtId="0" hierarchy="41" level="32767"/>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cacheHierarchy uniqueName="[Measures].[SatisfactionScore]" caption="SatisfactionScore" measure="1" displayFolder="" measureGroup="HR_Analytics  2" count="0" oneField="1">
      <fieldsUsage count="1">
        <fieldUsage x="0"/>
      </fieldsUsage>
    </cacheHierarchy>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2.058361111114" createdVersion="8" refreshedVersion="8" minRefreshableVersion="3" recordCount="0" supportSubquery="1" supportAdvancedDrill="1" xr:uid="{8412607F-46A2-43D9-B6A5-0A56EDC0FE5E}">
  <cacheSource type="external" connectionId="3"/>
  <cacheFields count="2">
    <cacheField name="[Measures].[AttritionRate]" caption="AttritionRate" numFmtId="0" hierarchy="39" level="32767"/>
    <cacheField name="[HR_Analytics  2].[StockOptionLevel].[StockOptionLevel]" caption="StockOptionLevel" numFmtId="0" hierarchy="30" level="1">
      <sharedItems containsSemiMixedTypes="0" containsString="0" containsNumber="1" containsInteger="1" minValue="0" maxValue="3" count="4">
        <n v="0"/>
        <n v="1"/>
        <n v="2"/>
        <n v="3"/>
      </sharedItems>
      <extLst>
        <ext xmlns:x15="http://schemas.microsoft.com/office/spreadsheetml/2010/11/main" uri="{4F2E5C28-24EA-4eb8-9CBF-B6C8F9C3D259}">
          <x15:cachedUniqueNames>
            <x15:cachedUniqueName index="0" name="[HR_Analytics  2].[StockOptionLevel].&amp;[0]"/>
            <x15:cachedUniqueName index="1" name="[HR_Analytics  2].[StockOptionLevel].&amp;[1]"/>
            <x15:cachedUniqueName index="2" name="[HR_Analytics  2].[StockOptionLevel].&amp;[2]"/>
            <x15:cachedUniqueName index="3" name="[HR_Analytics  2].[StockOptionLevel].&amp;[3]"/>
          </x15:cachedUniqueNames>
        </ext>
      </extLst>
    </cacheField>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2"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2" memberValueDatatype="20" unbalanced="0">
      <fieldsUsage count="2">
        <fieldUsage x="-1"/>
        <fieldUsage x="1"/>
      </fieldsUsage>
    </cacheHierarchy>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oneField="1">
      <fieldsUsage count="1">
        <fieldUsage x="0"/>
      </fieldsUsage>
    </cacheHierarchy>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2.064532175929" createdVersion="8" refreshedVersion="8" minRefreshableVersion="3" recordCount="0" supportSubquery="1" supportAdvancedDrill="1" xr:uid="{5384DC08-E42C-4825-BD8E-125D314B8253}">
  <cacheSource type="external" connectionId="3"/>
  <cacheFields count="2">
    <cacheField name="[Measures].[AttritionRate]" caption="AttritionRate" numFmtId="0" hierarchy="39" level="32767"/>
    <cacheField name="[HR_Analytics  2].[OverTime].[OverTime]" caption="OverTime" numFmtId="0" hierarchy="25" level="1">
      <sharedItems count="2">
        <s v="No"/>
        <s v="Yes"/>
      </sharedItems>
    </cacheField>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0"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2"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0"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2" memberValueDatatype="130" unbalanced="0">
      <fieldsUsage count="2">
        <fieldUsage x="-1"/>
        <fieldUsage x="1"/>
      </fieldsUsage>
    </cacheHierarchy>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oneField="1">
      <fieldsUsage count="1">
        <fieldUsage x="0"/>
      </fieldsUsage>
    </cacheHierarchy>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2.307631365744" createdVersion="8" refreshedVersion="8" minRefreshableVersion="3" recordCount="0" supportSubquery="1" supportAdvancedDrill="1" xr:uid="{91BDBB68-9D4E-4AAA-9610-011DC2540D0E}">
  <cacheSource type="external" connectionId="3"/>
  <cacheFields count="3">
    <cacheField name="[Measures].[MonthelyIncome]" caption="MonthelyIncome" numFmtId="0" hierarchy="42" level="32767"/>
    <cacheField name="[HR_Analytics  2].[Department].[Department]" caption="Department" numFmtId="0" hierarchy="6" level="1">
      <sharedItems count="3">
        <s v="Human Resources"/>
        <s v="Research &amp; Development"/>
        <s v="Sales"/>
      </sharedItems>
    </cacheField>
    <cacheField name="[HR_Analytics  2].[SalarySlab].[SalarySlab]" caption="SalarySlab" numFmtId="0" hierarchy="21" level="1">
      <sharedItems containsSemiMixedTypes="0" containsNonDate="0" containsString="0"/>
    </cacheField>
  </cacheFields>
  <cacheHierarchies count="54">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2" memberValueDatatype="130" unbalanced="0">
      <fieldsUsage count="2">
        <fieldUsage x="-1"/>
        <fieldUsage x="1"/>
      </fieldsUsage>
    </cacheHierarchy>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0" memberValueDatatype="20" unbalanced="0"/>
    <cacheHierarchy uniqueName="[HR_Analytics  2].[JobRole]" caption="JobRole" attribute="1" defaultMemberUniqueName="[HR_Analytics  2].[JobRole].[All]" allUniqueName="[HR_Analytics  2].[JobRole].[All]" dimensionUniqueName="[HR_Analytics  2]" displayFolder="" count="0"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2" memberValueDatatype="130" unbalanced="0">
      <fieldsUsage count="2">
        <fieldUsage x="-1"/>
        <fieldUsage x="2"/>
      </fieldsUsage>
    </cacheHierarchy>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oneField="1">
      <fieldsUsage count="1">
        <fieldUsage x="0"/>
      </fieldsUsage>
    </cacheHierarchy>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y uniqueName="[Measures].[Sum of EmployeeNumber]" caption="Sum of EmployeeNumber" measure="1" displayFolder="" measureGroup="HR_Analytics  2" count="0" hidden="1">
      <extLst>
        <ext xmlns:x15="http://schemas.microsoft.com/office/spreadsheetml/2010/11/main" uri="{B97F6D7D-B522-45F9-BDA1-12C45D357490}">
          <x15:cacheHierarchy aggregatedColumn="11"/>
        </ext>
      </extLst>
    </cacheHierarchy>
    <cacheHierarchy uniqueName="[Measures].[Count of Attrition]" caption="Count of Attrition" measure="1" displayFolder="" measureGroup="HR_Analytics  2"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Average of PerformanceRating]" caption="Average of PerformanceRating" measure="1" displayFolder="" measureGroup="HR_Analytics  2" count="0" hidden="1">
      <extLst>
        <ext xmlns:x15="http://schemas.microsoft.com/office/spreadsheetml/2010/11/main" uri="{B97F6D7D-B522-45F9-BDA1-12C45D357490}">
          <x15:cacheHierarchy aggregatedColumn="27"/>
        </ext>
      </extLst>
    </cacheHierarchy>
    <cacheHierarchy uniqueName="[Measures].[Sum of YearsAtCompany]" caption="Sum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Average of YearsAtCompany]" caption="Average of YearsAtCompany" measure="1" displayFolder="" measureGroup="HR_Analytics  2" count="0" hidden="1">
      <extLst>
        <ext xmlns:x15="http://schemas.microsoft.com/office/spreadsheetml/2010/11/main" uri="{B97F6D7D-B522-45F9-BDA1-12C45D357490}">
          <x15:cacheHierarchy aggregatedColumn="34"/>
        </ext>
      </extLst>
    </cacheHierarchy>
    <cacheHierarchy uniqueName="[Measures].[Sum of JobLevel]" caption="Sum of JobLevel" measure="1" displayFolder="" measureGroup="HR_Analytics  2" count="0" hidden="1">
      <extLst>
        <ext xmlns:x15="http://schemas.microsoft.com/office/spreadsheetml/2010/11/main" uri="{B97F6D7D-B522-45F9-BDA1-12C45D357490}">
          <x15:cacheHierarchy aggregatedColumn="16"/>
        </ext>
      </extLst>
    </cacheHierarchy>
    <cacheHierarchy uniqueName="[Measures].[Sum of DistanceFromHome]" caption="Sum of DistanceFromHome" measure="1" displayFolder="" measureGroup="HR_Analytics  2" count="0" hidden="1">
      <extLst>
        <ext xmlns:x15="http://schemas.microsoft.com/office/spreadsheetml/2010/11/main" uri="{B97F6D7D-B522-45F9-BDA1-12C45D357490}">
          <x15:cacheHierarchy aggregatedColumn="7"/>
        </ext>
      </extLst>
    </cacheHierarchy>
    <cacheHierarchy uniqueName="[Measures].[Sum of StockOptionLevel]" caption="Sum of StockOptionLevel" measure="1" displayFolder="" measureGroup="HR_Analytics  2" count="0" hidden="1">
      <extLst>
        <ext xmlns:x15="http://schemas.microsoft.com/office/spreadsheetml/2010/11/main" uri="{B97F6D7D-B522-45F9-BDA1-12C45D357490}">
          <x15:cacheHierarchy aggregatedColumn="30"/>
        </ext>
      </extLst>
    </cacheHierarchy>
  </cacheHierarchies>
  <kpis count="0"/>
  <dimensions count="2">
    <dimension name="HR_Analytics  2" uniqueName="[HR_Analytics  2]" caption="HR_Analytics  2"/>
    <dimension measure="1" name="Measures" uniqueName="[Measures]" caption="Measures"/>
  </dimensions>
  <measureGroups count="1">
    <measureGroup name="HR_Analytics  2" caption="HR_Analytics  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71.8963337963" createdVersion="3" refreshedVersion="8" minRefreshableVersion="3" recordCount="0" supportSubquery="1" supportAdvancedDrill="1" xr:uid="{1AAD9443-09E7-405B-99C8-7FEC5CB54379}">
  <cacheSource type="external" connectionId="3">
    <extLst>
      <ext xmlns:x14="http://schemas.microsoft.com/office/spreadsheetml/2009/9/main" uri="{F057638F-6D5F-4e77-A914-E7F072B9BCA8}">
        <x14:sourceConnection name="ThisWorkbookDataModel"/>
      </ext>
    </extLst>
  </cacheSource>
  <cacheFields count="0"/>
  <cacheHierarchies count="45">
    <cacheHierarchy uniqueName="[HR_Analytics  2].[EmpID]" caption="EmpID" attribute="1" defaultMemberUniqueName="[HR_Analytics  2].[EmpID].[All]" allUniqueName="[HR_Analytics  2].[EmpID].[All]" dimensionUniqueName="[HR_Analytics  2]" displayFolder="" count="0" memberValueDatatype="130" unbalanced="0"/>
    <cacheHierarchy uniqueName="[HR_Analytics  2].[Age]" caption="Age" attribute="1" defaultMemberUniqueName="[HR_Analytics  2].[Age].[All]" allUniqueName="[HR_Analytics  2].[Age].[All]" dimensionUniqueName="[HR_Analytics  2]" displayFolder="" count="0" memberValueDatatype="20" unbalanced="0"/>
    <cacheHierarchy uniqueName="[HR_Analytics  2].[AgeGroup]" caption="AgeGroup" attribute="1" defaultMemberUniqueName="[HR_Analytics  2].[AgeGroup].[All]" allUniqueName="[HR_Analytics  2].[AgeGroup].[All]" dimensionUniqueName="[HR_Analytics  2]" displayFolder="" count="0" memberValueDatatype="130" unbalanced="0"/>
    <cacheHierarchy uniqueName="[HR_Analytics  2].[Attrition]" caption="Attrition" attribute="1" defaultMemberUniqueName="[HR_Analytics  2].[Attrition].[All]" allUniqueName="[HR_Analytics  2].[Attrition].[All]" dimensionUniqueName="[HR_Analytics  2]" displayFolder="" count="0" memberValueDatatype="130" unbalanced="0"/>
    <cacheHierarchy uniqueName="[HR_Analytics  2].[BusinessTravel]" caption="BusinessTravel" attribute="1" defaultMemberUniqueName="[HR_Analytics  2].[BusinessTravel].[All]" allUniqueName="[HR_Analytics  2].[BusinessTravel].[All]" dimensionUniqueName="[HR_Analytics  2]" displayFolder="" count="0" memberValueDatatype="130" unbalanced="0"/>
    <cacheHierarchy uniqueName="[HR_Analytics  2].[DailyRate]" caption="DailyRate" attribute="1" defaultMemberUniqueName="[HR_Analytics  2].[DailyRate].[All]" allUniqueName="[HR_Analytics  2].[DailyRate].[All]" dimensionUniqueName="[HR_Analytics  2]" displayFolder="" count="0" memberValueDatatype="20" unbalanced="0"/>
    <cacheHierarchy uniqueName="[HR_Analytics  2].[Department]" caption="Department" attribute="1" defaultMemberUniqueName="[HR_Analytics  2].[Department].[All]" allUniqueName="[HR_Analytics  2].[Department].[All]" dimensionUniqueName="[HR_Analytics  2]" displayFolder="" count="2" memberValueDatatype="130" unbalanced="0"/>
    <cacheHierarchy uniqueName="[HR_Analytics  2].[DistanceFromHome]" caption="DistanceFromHome" attribute="1" defaultMemberUniqueName="[HR_Analytics  2].[DistanceFromHome].[All]" allUniqueName="[HR_Analytics  2].[DistanceFromHome].[All]" dimensionUniqueName="[HR_Analytics  2]" displayFolder="" count="0" memberValueDatatype="20" unbalanced="0"/>
    <cacheHierarchy uniqueName="[HR_Analytics  2].[Education]" caption="Education" attribute="1" defaultMemberUniqueName="[HR_Analytics  2].[Education].[All]" allUniqueName="[HR_Analytics  2].[Education].[All]" dimensionUniqueName="[HR_Analytics  2]" displayFolder="" count="0" memberValueDatatype="20" unbalanced="0"/>
    <cacheHierarchy uniqueName="[HR_Analytics  2].[EducationField]" caption="EducationField" attribute="1" defaultMemberUniqueName="[HR_Analytics  2].[EducationField].[All]" allUniqueName="[HR_Analytics  2].[EducationField].[All]" dimensionUniqueName="[HR_Analytics  2]" displayFolder="" count="0" memberValueDatatype="130" unbalanced="0"/>
    <cacheHierarchy uniqueName="[HR_Analytics  2].[EmployeeCount]" caption="EmployeeCount" attribute="1" defaultMemberUniqueName="[HR_Analytics  2].[EmployeeCount].[All]" allUniqueName="[HR_Analytics  2].[EmployeeCount].[All]" dimensionUniqueName="[HR_Analytics  2]" displayFolder="" count="0" memberValueDatatype="20" unbalanced="0"/>
    <cacheHierarchy uniqueName="[HR_Analytics  2].[EmployeeNumber]" caption="EmployeeNumber" attribute="1" defaultMemberUniqueName="[HR_Analytics  2].[EmployeeNumber].[All]" allUniqueName="[HR_Analytics  2].[EmployeeNumber].[All]" dimensionUniqueName="[HR_Analytics  2]" displayFolder="" count="0" memberValueDatatype="20" unbalanced="0"/>
    <cacheHierarchy uniqueName="[HR_Analytics  2].[EnvironmentSatisfaction]" caption="EnvironmentSatisfaction" attribute="1" defaultMemberUniqueName="[HR_Analytics  2].[EnvironmentSatisfaction].[All]" allUniqueName="[HR_Analytics  2].[EnvironmentSatisfaction].[All]" dimensionUniqueName="[HR_Analytics  2]" displayFolder="" count="0" memberValueDatatype="20" unbalanced="0"/>
    <cacheHierarchy uniqueName="[HR_Analytics  2].[Gender]" caption="Gender" attribute="1" defaultMemberUniqueName="[HR_Analytics  2].[Gender].[All]" allUniqueName="[HR_Analytics  2].[Gender].[All]" dimensionUniqueName="[HR_Analytics  2]" displayFolder="" count="0" memberValueDatatype="130" unbalanced="0"/>
    <cacheHierarchy uniqueName="[HR_Analytics  2].[HourlyRate]" caption="HourlyRate" attribute="1" defaultMemberUniqueName="[HR_Analytics  2].[HourlyRate].[All]" allUniqueName="[HR_Analytics  2].[HourlyRate].[All]" dimensionUniqueName="[HR_Analytics  2]" displayFolder="" count="0" memberValueDatatype="20" unbalanced="0"/>
    <cacheHierarchy uniqueName="[HR_Analytics  2].[JobInvolvement]" caption="JobInvolvement" attribute="1" defaultMemberUniqueName="[HR_Analytics  2].[JobInvolvement].[All]" allUniqueName="[HR_Analytics  2].[JobInvolvement].[All]" dimensionUniqueName="[HR_Analytics  2]" displayFolder="" count="0" memberValueDatatype="20" unbalanced="0"/>
    <cacheHierarchy uniqueName="[HR_Analytics  2].[JobLevel]" caption="JobLevel" attribute="1" defaultMemberUniqueName="[HR_Analytics  2].[JobLevel].[All]" allUniqueName="[HR_Analytics  2].[JobLevel].[All]" dimensionUniqueName="[HR_Analytics  2]" displayFolder="" count="2" memberValueDatatype="20" unbalanced="0"/>
    <cacheHierarchy uniqueName="[HR_Analytics  2].[JobRole]" caption="JobRole" attribute="1" defaultMemberUniqueName="[HR_Analytics  2].[JobRole].[All]" allUniqueName="[HR_Analytics  2].[JobRole].[All]" dimensionUniqueName="[HR_Analytics  2]" displayFolder="" count="2" memberValueDatatype="130" unbalanced="0"/>
    <cacheHierarchy uniqueName="[HR_Analytics  2].[JobSatisfaction]" caption="JobSatisfaction" attribute="1" defaultMemberUniqueName="[HR_Analytics  2].[JobSatisfaction].[All]" allUniqueName="[HR_Analytics  2].[JobSatisfaction].[All]" dimensionUniqueName="[HR_Analytics  2]" displayFolder="" count="0" memberValueDatatype="20" unbalanced="0"/>
    <cacheHierarchy uniqueName="[HR_Analytics  2].[MaritalStatus]" caption="MaritalStatus" attribute="1" defaultMemberUniqueName="[HR_Analytics  2].[MaritalStatus].[All]" allUniqueName="[HR_Analytics  2].[MaritalStatus].[All]" dimensionUniqueName="[HR_Analytics  2]" displayFolder="" count="0" memberValueDatatype="130" unbalanced="0"/>
    <cacheHierarchy uniqueName="[HR_Analytics  2].[MonthlyIncome]" caption="MonthlyIncome" attribute="1" defaultMemberUniqueName="[HR_Analytics  2].[MonthlyIncome].[All]" allUniqueName="[HR_Analytics  2].[MonthlyIncome].[All]" dimensionUniqueName="[HR_Analytics  2]" displayFolder="" count="0" memberValueDatatype="20" unbalanced="0"/>
    <cacheHierarchy uniqueName="[HR_Analytics  2].[SalarySlab]" caption="SalarySlab" attribute="1" defaultMemberUniqueName="[HR_Analytics  2].[SalarySlab].[All]" allUniqueName="[HR_Analytics  2].[SalarySlab].[All]" dimensionUniqueName="[HR_Analytics  2]" displayFolder="" count="2" memberValueDatatype="130" unbalanced="0"/>
    <cacheHierarchy uniqueName="[HR_Analytics  2].[MonthlyRate]" caption="MonthlyRate" attribute="1" defaultMemberUniqueName="[HR_Analytics  2].[MonthlyRate].[All]" allUniqueName="[HR_Analytics  2].[MonthlyRate].[All]" dimensionUniqueName="[HR_Analytics  2]" displayFolder="" count="0" memberValueDatatype="20" unbalanced="0"/>
    <cacheHierarchy uniqueName="[HR_Analytics  2].[NumCompaniesWorked]" caption="NumCompaniesWorked" attribute="1" defaultMemberUniqueName="[HR_Analytics  2].[NumCompaniesWorked].[All]" allUniqueName="[HR_Analytics  2].[NumCompaniesWorked].[All]" dimensionUniqueName="[HR_Analytics  2]" displayFolder="" count="0" memberValueDatatype="20" unbalanced="0"/>
    <cacheHierarchy uniqueName="[HR_Analytics  2].[Over18]" caption="Over18" attribute="1" defaultMemberUniqueName="[HR_Analytics  2].[Over18].[All]" allUniqueName="[HR_Analytics  2].[Over18].[All]" dimensionUniqueName="[HR_Analytics  2]" displayFolder="" count="0" memberValueDatatype="130" unbalanced="0"/>
    <cacheHierarchy uniqueName="[HR_Analytics  2].[OverTime]" caption="OverTime" attribute="1" defaultMemberUniqueName="[HR_Analytics  2].[OverTime].[All]" allUniqueName="[HR_Analytics  2].[OverTime].[All]" dimensionUniqueName="[HR_Analytics  2]" displayFolder="" count="0" memberValueDatatype="130" unbalanced="0"/>
    <cacheHierarchy uniqueName="[HR_Analytics  2].[PercentSalaryHike]" caption="PercentSalaryHike" attribute="1" defaultMemberUniqueName="[HR_Analytics  2].[PercentSalaryHike].[All]" allUniqueName="[HR_Analytics  2].[PercentSalaryHike].[All]" dimensionUniqueName="[HR_Analytics  2]" displayFolder="" count="0" memberValueDatatype="20" unbalanced="0"/>
    <cacheHierarchy uniqueName="[HR_Analytics  2].[PerformanceRating]" caption="PerformanceRating" attribute="1" defaultMemberUniqueName="[HR_Analytics  2].[PerformanceRating].[All]" allUniqueName="[HR_Analytics  2].[PerformanceRating].[All]" dimensionUniqueName="[HR_Analytics  2]" displayFolder="" count="0" memberValueDatatype="20" unbalanced="0"/>
    <cacheHierarchy uniqueName="[HR_Analytics  2].[RelationshipSatisfaction]" caption="RelationshipSatisfaction" attribute="1" defaultMemberUniqueName="[HR_Analytics  2].[RelationshipSatisfaction].[All]" allUniqueName="[HR_Analytics  2].[RelationshipSatisfaction].[All]" dimensionUniqueName="[HR_Analytics  2]" displayFolder="" count="0" memberValueDatatype="20" unbalanced="0"/>
    <cacheHierarchy uniqueName="[HR_Analytics  2].[StandardHours]" caption="StandardHours" attribute="1" defaultMemberUniqueName="[HR_Analytics  2].[StandardHours].[All]" allUniqueName="[HR_Analytics  2].[StandardHours].[All]" dimensionUniqueName="[HR_Analytics  2]" displayFolder="" count="0" memberValueDatatype="20" unbalanced="0"/>
    <cacheHierarchy uniqueName="[HR_Analytics  2].[StockOptionLevel]" caption="StockOptionLevel" attribute="1" defaultMemberUniqueName="[HR_Analytics  2].[StockOptionLevel].[All]" allUniqueName="[HR_Analytics  2].[StockOptionLevel].[All]" dimensionUniqueName="[HR_Analytics  2]" displayFolder="" count="0" memberValueDatatype="20" unbalanced="0"/>
    <cacheHierarchy uniqueName="[HR_Analytics  2].[TotalWorkingYears]" caption="TotalWorkingYears" attribute="1" defaultMemberUniqueName="[HR_Analytics  2].[TotalWorkingYears].[All]" allUniqueName="[HR_Analytics  2].[TotalWorkingYears].[All]" dimensionUniqueName="[HR_Analytics  2]" displayFolder="" count="0" memberValueDatatype="20" unbalanced="0"/>
    <cacheHierarchy uniqueName="[HR_Analytics  2].[TrainingTimesLastYear]" caption="TrainingTimesLastYear" attribute="1" defaultMemberUniqueName="[HR_Analytics  2].[TrainingTimesLastYear].[All]" allUniqueName="[HR_Analytics  2].[TrainingTimesLastYear].[All]" dimensionUniqueName="[HR_Analytics  2]" displayFolder="" count="0" memberValueDatatype="20" unbalanced="0"/>
    <cacheHierarchy uniqueName="[HR_Analytics  2].[WorkLifeBalance]" caption="WorkLifeBalance" attribute="1" defaultMemberUniqueName="[HR_Analytics  2].[WorkLifeBalance].[All]" allUniqueName="[HR_Analytics  2].[WorkLifeBalance].[All]" dimensionUniqueName="[HR_Analytics  2]" displayFolder="" count="0" memberValueDatatype="20" unbalanced="0"/>
    <cacheHierarchy uniqueName="[HR_Analytics  2].[YearsAtCompany]" caption="YearsAtCompany" attribute="1" defaultMemberUniqueName="[HR_Analytics  2].[YearsAtCompany].[All]" allUniqueName="[HR_Analytics  2].[YearsAtCompany].[All]" dimensionUniqueName="[HR_Analytics  2]" displayFolder="" count="0" memberValueDatatype="20" unbalanced="0"/>
    <cacheHierarchy uniqueName="[HR_Analytics  2].[YearsInCurrentRole]" caption="YearsInCurrentRole" attribute="1" defaultMemberUniqueName="[HR_Analytics  2].[YearsInCurrentRole].[All]" allUniqueName="[HR_Analytics  2].[YearsInCurrentRole].[All]" dimensionUniqueName="[HR_Analytics  2]" displayFolder="" count="0" memberValueDatatype="20" unbalanced="0"/>
    <cacheHierarchy uniqueName="[HR_Analytics  2].[YearsSinceLastPromotion]" caption="YearsSinceLastPromotion" attribute="1" defaultMemberUniqueName="[HR_Analytics  2].[YearsSinceLastPromotion].[All]" allUniqueName="[HR_Analytics  2].[YearsSinceLastPromotion].[All]" dimensionUniqueName="[HR_Analytics  2]" displayFolder="" count="0" memberValueDatatype="20" unbalanced="0"/>
    <cacheHierarchy uniqueName="[HR_Analytics  2].[YearsWithCurrManager]" caption="YearsWithCurrManager" attribute="1" defaultMemberUniqueName="[HR_Analytics  2].[YearsWithCurrManager].[All]" allUniqueName="[HR_Analytics  2].[YearsWithCurrManager].[All]" dimensionUniqueName="[HR_Analytics  2]" displayFolder="" count="0" memberValueDatatype="20" unbalanced="0"/>
    <cacheHierarchy uniqueName="[Measures].[TotalEmlpoyees]" caption="TotalEmlpoyees" measure="1" displayFolder="" measureGroup="HR_Analytics  2" count="0"/>
    <cacheHierarchy uniqueName="[Measures].[AttritionRate]" caption="AttritionRate" measure="1" displayFolder="" measureGroup="HR_Analytics  2" count="0"/>
    <cacheHierarchy uniqueName="[Measures].[OverTimeRate]" caption="OverTimeRate" measure="1" displayFolder="" measureGroup="HR_Analytics  2" count="0"/>
    <cacheHierarchy uniqueName="[Measures].[SatisfactionScore]" caption="SatisfactionScore" measure="1" displayFolder="" measureGroup="HR_Analytics  2" count="0"/>
    <cacheHierarchy uniqueName="[Measures].[MonthelyIncome]" caption="MonthelyIncome" measure="1" displayFolder="" measureGroup="HR_Analytics  2" count="0"/>
    <cacheHierarchy uniqueName="[Measures].[__XL_Count HR_Analytics  2]" caption="__XL_Count HR_Analytics  2" measure="1" displayFolder="" measureGroup="HR_Analytics  2"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1680356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FE23CA-74A7-435F-BC81-3CAAE261C554}" name="PivotTable4"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3" rowHeaderCaption="Department">
  <location ref="AH4:AJ8"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2">
    <i>
      <x/>
    </i>
    <i i="1">
      <x v="1"/>
    </i>
  </colItems>
  <dataFields count="2">
    <dataField fld="1" subtotal="count" baseField="0" baseItem="0"/>
    <dataField fld="2" subtotal="count" baseField="0" baseItem="0"/>
  </dataFields>
  <chartFormats count="2">
    <chartFormat chart="32" format="4" series="1">
      <pivotArea type="data" outline="0" fieldPosition="0">
        <references count="1">
          <reference field="4294967294" count="1" selected="0">
            <x v="0"/>
          </reference>
        </references>
      </pivotArea>
    </chartFormat>
    <chartFormat chart="32" format="5" series="1">
      <pivotArea type="data" outline="0" fieldPosition="0">
        <references count="1">
          <reference field="4294967294" count="1" selected="0">
            <x v="1"/>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PerformanceRating"/>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FA07B6-96A4-4FB7-8475-DB084C30B954}" name="OverTimeRate"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1:E2"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A3F105-3D73-47A6-8340-F8D33DD15DBB}" name="PivotTable3"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rowHeaderCaption="Department">
  <location ref="AD4:AE8"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Average of PerformanceRating" fld="1" subtotal="average"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PerformanceRating"/>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88588C-4A2A-42B3-B3BF-620104958650}" name="PivotTable8" cacheId="1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3" rowHeaderCaption="OverTime">
  <location ref="AU3:AV6"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numFmtId="9"/>
  </dataFields>
  <formats count="2">
    <format dxfId="1">
      <pivotArea grandRow="1" outline="0" collapsedLevelsAreSubtotals="1" fieldPosition="0"/>
    </format>
    <format dxfId="0">
      <pivotArea outline="0" collapsedLevelsAreSubtotals="1" fieldPosition="0"/>
    </format>
  </formats>
  <chartFormats count="7">
    <chartFormat chart="33" format="0"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0"/>
          </reference>
        </references>
      </pivotArea>
    </chartFormat>
    <chartFormat chart="49" format="0"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0"/>
          </reference>
        </references>
      </pivotArea>
    </chartFormat>
    <chartFormat chart="51" format="2" series="1">
      <pivotArea type="data" outline="0" fieldPosition="0">
        <references count="1">
          <reference field="4294967294" count="1" selected="0">
            <x v="0"/>
          </reference>
        </references>
      </pivotArea>
    </chartFormat>
    <chartFormat chart="52" format="2"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PerformanceRating"/>
    <pivotHierarchy dragToData="1"/>
    <pivotHierarchy dragToData="1" caption="Average of YearsAtCompan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7C9065F-2955-45E5-94BD-6C7A8172911B}" name="MonthelyIncome" cacheId="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I1:I2"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5F873FF-FCD6-4D1C-ABB0-2EE69C396609}" name="PivotTable7"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4" rowHeaderCaption="Job Level">
  <location ref="AR3:AS9" firstHeaderRow="1" firstDataRow="1" firstDataCol="1"/>
  <pivotFields count="2">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1"/>
  </rowFields>
  <rowItems count="6">
    <i>
      <x/>
    </i>
    <i>
      <x v="1"/>
    </i>
    <i>
      <x v="2"/>
    </i>
    <i>
      <x v="3"/>
    </i>
    <i>
      <x v="4"/>
    </i>
    <i t="grand">
      <x/>
    </i>
  </rowItems>
  <colItems count="1">
    <i/>
  </colItems>
  <dataFields count="1">
    <dataField fld="0" subtotal="count" baseField="0" baseItem="0" numFmtId="9"/>
  </dataFields>
  <formats count="2">
    <format dxfId="3">
      <pivotArea grandRow="1" outline="0" collapsedLevelsAreSubtotals="1" fieldPosition="0"/>
    </format>
    <format dxfId="2">
      <pivotArea outline="0" collapsedLevelsAreSubtotals="1" fieldPosition="0"/>
    </format>
  </formats>
  <chartFormats count="2">
    <chartFormat chart="40" format="0"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PerformanceRating"/>
    <pivotHierarchy dragToData="1"/>
    <pivotHierarchy dragToData="1" caption="Average of YearsAtCompan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55BD93-FAD2-48E6-8872-29C6EB816FC3}" name="StatisfactionScore" cacheId="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G1:G2"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4DEB3F6-A41C-4206-BA61-CECF36834CCD}" name="Dept By Income" cacheId="3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1" rowHeaderCaption="Department">
  <location ref="N1:O5" firstHeaderRow="1" firstDataRow="1" firstDataCol="1"/>
  <pivotFields count="3">
    <pivotField dataField="1" subtotalTop="0" showAll="0" defaultSubtotal="0"/>
    <pivotField axis="axisRow" allDrilled="1" subtotalTop="0" showAll="0"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dataFields>
  <chartFormats count="4">
    <chartFormat chart="14" format="5" series="1">
      <pivotArea type="data" outline="0" fieldPosition="0">
        <references count="1">
          <reference field="4294967294" count="1" selected="0">
            <x v="0"/>
          </reference>
        </references>
      </pivotArea>
    </chartFormat>
    <chartFormat chart="14" format="6">
      <pivotArea type="data" outline="0" fieldPosition="0">
        <references count="2">
          <reference field="4294967294" count="1" selected="0">
            <x v="0"/>
          </reference>
          <reference field="1" count="1" selected="0">
            <x v="0"/>
          </reference>
        </references>
      </pivotArea>
    </chartFormat>
    <chartFormat chart="14" format="7">
      <pivotArea type="data" outline="0" fieldPosition="0">
        <references count="2">
          <reference field="4294967294" count="1" selected="0">
            <x v="0"/>
          </reference>
          <reference field="1" count="1" selected="0">
            <x v="1"/>
          </reference>
        </references>
      </pivotArea>
    </chartFormat>
    <chartFormat chart="14" format="8">
      <pivotArea type="data" outline="0" fieldPosition="0">
        <references count="2">
          <reference field="4294967294" count="1" selected="0">
            <x v="0"/>
          </reference>
          <reference field="1" count="1" selected="0">
            <x v="2"/>
          </reference>
        </references>
      </pivotArea>
    </chartFormat>
  </chartFormats>
  <pivotHierarchies count="5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17C0AE6-C195-4805-9B48-C842D5F153FC}" name="PivotTable2"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rowHeaderCaption="Department">
  <location ref="AA4:AB8"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fld="1" subtotal="count" baseField="0" baseItem="0"/>
  </dataFields>
  <chartFormats count="4">
    <chartFormat chart="18" format="5" series="1">
      <pivotArea type="data" outline="0" fieldPosition="0">
        <references count="1">
          <reference field="4294967294" count="1" selected="0">
            <x v="0"/>
          </reference>
        </references>
      </pivotArea>
    </chartFormat>
    <chartFormat chart="18" format="6">
      <pivotArea type="data" outline="0" fieldPosition="0">
        <references count="2">
          <reference field="4294967294" count="1" selected="0">
            <x v="0"/>
          </reference>
          <reference field="0" count="1" selected="0">
            <x v="0"/>
          </reference>
        </references>
      </pivotArea>
    </chartFormat>
    <chartFormat chart="18" format="7">
      <pivotArea type="data" outline="0" fieldPosition="0">
        <references count="2">
          <reference field="4294967294" count="1" selected="0">
            <x v="0"/>
          </reference>
          <reference field="0" count="1" selected="0">
            <x v="1"/>
          </reference>
        </references>
      </pivotArea>
    </chartFormat>
    <chartFormat chart="18" format="8">
      <pivotArea type="data" outline="0" fieldPosition="0">
        <references count="2">
          <reference field="4294967294" count="1" selected="0">
            <x v="0"/>
          </reference>
          <reference field="0" count="1" selected="0">
            <x v="2"/>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406F419-57EE-47DB-AB35-17CF20630882}" name="PivotTable6" cacheId="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9" rowHeaderCaption="Stock Option Level">
  <location ref="AO3:AP8" firstHeaderRow="1" firstDataRow="1" firstDataCol="1"/>
  <pivotFields count="2">
    <pivotField dataField="1" subtotalTop="0" showAll="0" defaultSubtotal="0"/>
    <pivotField axis="axisRow"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Items count="1">
    <i/>
  </colItems>
  <dataFields count="1">
    <dataField fld="0" subtotal="count" baseField="0" baseItem="0" numFmtId="9"/>
  </dataFields>
  <formats count="2">
    <format dxfId="5">
      <pivotArea grandRow="1" outline="0" collapsedLevelsAreSubtotals="1" fieldPosition="0"/>
    </format>
    <format dxfId="4">
      <pivotArea outline="0" collapsedLevelsAreSubtotals="1" fieldPosition="0"/>
    </format>
  </formats>
  <chartFormats count="6">
    <chartFormat chart="35" format="0"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0"/>
          </reference>
        </references>
      </pivotArea>
    </chartFormat>
    <chartFormat chart="38" format="7">
      <pivotArea type="data" outline="0" fieldPosition="0">
        <references count="2">
          <reference field="4294967294" count="1" selected="0">
            <x v="0"/>
          </reference>
          <reference field="1" count="1" selected="0">
            <x v="0"/>
          </reference>
        </references>
      </pivotArea>
    </chartFormat>
    <chartFormat chart="38" format="8">
      <pivotArea type="data" outline="0" fieldPosition="0">
        <references count="2">
          <reference field="4294967294" count="1" selected="0">
            <x v="0"/>
          </reference>
          <reference field="1" count="1" selected="0">
            <x v="1"/>
          </reference>
        </references>
      </pivotArea>
    </chartFormat>
    <chartFormat chart="38" format="9">
      <pivotArea type="data" outline="0" fieldPosition="0">
        <references count="2">
          <reference field="4294967294" count="1" selected="0">
            <x v="0"/>
          </reference>
          <reference field="1" count="1" selected="0">
            <x v="2"/>
          </reference>
        </references>
      </pivotArea>
    </chartFormat>
    <chartFormat chart="38" format="10">
      <pivotArea type="data" outline="0" fieldPosition="0">
        <references count="2">
          <reference field="4294967294" count="1" selected="0">
            <x v="0"/>
          </reference>
          <reference field="1" count="1" selected="0">
            <x v="3"/>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PerformanceRating"/>
    <pivotHierarchy dragToData="1"/>
    <pivotHierarchy dragToData="1" caption="Average of YearsAtCompan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696AA38-9566-4648-9EF1-1649F07450B6}" name="AttritionRate" cacheId="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C1:C2"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EE5CA68-9085-4B8B-AEAC-0813EDB8D36E}" name="EmployNum By Dept"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rowHeaderCaption="Department">
  <location ref="X2:Y6"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EmployeeNumber" fld="1" baseField="0" baseItem="0"/>
  </dataFields>
  <chartFormats count="1">
    <chartFormat chart="14" format="2"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D7B6898-F795-4D54-A514-93B08943EF3A}" name="TotalEmployees"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A2"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CDB86C2-9E0B-4169-A448-E848C7318D92}" name="Satisfaction By Dept"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rowHeaderCaption="Department">
  <location ref="T1:U5"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fld="0" subtotal="count" baseField="0" baseItem="0"/>
  </dataFields>
  <chartFormats count="1">
    <chartFormat chart="12" format="2"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410E1A2-C6D5-403E-A049-B6F826C38B27}" name="PivotTable5"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3" rowHeaderCaption="Department">
  <location ref="AM5:AM6" firstHeaderRow="1" firstDataRow="1" firstDataCol="0"/>
  <pivotFields count="1">
    <pivotField dataField="1" subtotalTop="0" showAll="0" defaultSubtotal="0"/>
  </pivotFields>
  <rowItems count="1">
    <i/>
  </rowItems>
  <colItems count="1">
    <i/>
  </colItems>
  <dataFields count="1">
    <dataField name="Average of YearsAtCompany" fld="0" subtotal="average" baseField="0" baseItem="0" numFmtId="2"/>
  </dataFields>
  <formats count="1">
    <format dxfId="6">
      <pivotArea outline="0" collapsedLevelsAreSubtotals="1" fieldPosition="0"/>
    </format>
  </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PerformanceRating"/>
    <pivotHierarchy dragToData="1"/>
    <pivotHierarchy dragToData="1" caption="Average of YearsAtCompany"/>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7CFB697-F2AD-484D-9668-E683FD933E36}" name="PivotTable10"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JobRole">
  <location ref="Q1:R11" firstHeaderRow="1" firstDataRow="1" firstDataCol="1"/>
  <pivotFields count="2">
    <pivotField dataField="1" subtotalTop="0" showAll="0" defaultSubtotal="0"/>
    <pivotField axis="axisRow" allDrilled="1" subtotalTop="0" showAll="0" dataSourceSort="1" defaultSubtotal="0" defaultAttributeDrillState="1">
      <items count="9">
        <item x="0"/>
        <item x="1"/>
        <item x="2"/>
        <item x="3"/>
        <item x="4"/>
        <item x="5"/>
        <item x="6"/>
        <item x="7"/>
        <item x="8"/>
      </items>
    </pivotField>
  </pivotFields>
  <rowFields count="1">
    <field x="1"/>
  </rowFields>
  <rowItems count="10">
    <i>
      <x/>
    </i>
    <i>
      <x v="1"/>
    </i>
    <i>
      <x v="2"/>
    </i>
    <i>
      <x v="3"/>
    </i>
    <i>
      <x v="4"/>
    </i>
    <i>
      <x v="5"/>
    </i>
    <i>
      <x v="6"/>
    </i>
    <i>
      <x v="7"/>
    </i>
    <i>
      <x v="8"/>
    </i>
    <i t="grand">
      <x/>
    </i>
  </rowItems>
  <colItems count="1">
    <i/>
  </colItems>
  <dataFields count="1">
    <dataField fld="0" subtotal="count"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FAF9741-A168-43FD-A2E1-917DE4F484AB}" name="Att By JobRole" cacheId="1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1" rowHeaderCaption="JobRole">
  <location ref="K1:L11" firstHeaderRow="1" firstDataRow="1" firstDataCol="1"/>
  <pivotFields count="2">
    <pivotField dataField="1" subtotalTop="0" showAll="0" defaultSubtotal="0"/>
    <pivotField axis="axisRow" allDrilled="1" subtotalTop="0" showAll="0" dataSourceSort="1" defaultSubtotal="0" defaultAttributeDrillState="1">
      <items count="9">
        <item x="0"/>
        <item x="1"/>
        <item x="2"/>
        <item x="3"/>
        <item x="4"/>
        <item x="5"/>
        <item x="6"/>
        <item x="7"/>
        <item x="8"/>
      </items>
    </pivotField>
  </pivotFields>
  <rowFields count="1">
    <field x="1"/>
  </rowFields>
  <rowItems count="10">
    <i>
      <x/>
    </i>
    <i>
      <x v="1"/>
    </i>
    <i>
      <x v="2"/>
    </i>
    <i>
      <x v="3"/>
    </i>
    <i>
      <x v="4"/>
    </i>
    <i>
      <x v="5"/>
    </i>
    <i>
      <x v="6"/>
    </i>
    <i>
      <x v="7"/>
    </i>
    <i>
      <x v="8"/>
    </i>
    <i t="grand">
      <x/>
    </i>
  </rowItems>
  <colItems count="1">
    <i/>
  </colItems>
  <dataFields count="1">
    <dataField fld="0" subtotal="count" baseField="0" baseItem="0" numFmtId="166"/>
  </dataFields>
  <formats count="1">
    <format dxfId="7">
      <pivotArea outline="0" collapsedLevelsAreSubtotals="1" fieldPosition="0"/>
    </format>
  </formats>
  <chartFormats count="1">
    <chartFormat chart="12" format="2"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2)">
        <x15:activeTabTopLevelEntity name="[HR_Analytics  2]"/>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Role" xr10:uid="{FCBA08BD-377A-4231-8FAB-45793405F3A0}" sourceName="[HR_Analytics  2].[JobRole]">
  <pivotTables>
    <pivotTable tabId="5" name="Dept By Income"/>
  </pivotTables>
  <data>
    <olap pivotCacheId="416803560">
      <levels count="2">
        <level uniqueName="[HR_Analytics  2].[JobRole].[(All)]" sourceCaption="(All)" count="0"/>
        <level uniqueName="[HR_Analytics  2].[JobRole].[JobRole]" sourceCaption="JobRole" count="9">
          <ranges>
            <range startItem="0">
              <i n="[HR_Analytics  2].[JobRole].&amp;[Healthcare Representative]" c="Healthcare Representative"/>
              <i n="[HR_Analytics  2].[JobRole].&amp;[Human Resources]" c="Human Resources"/>
              <i n="[HR_Analytics  2].[JobRole].&amp;[Laboratory Technician]" c="Laboratory Technician"/>
              <i n="[HR_Analytics  2].[JobRole].&amp;[Manager]" c="Manager"/>
              <i n="[HR_Analytics  2].[JobRole].&amp;[Manufacturing Director]" c="Manufacturing Director"/>
              <i n="[HR_Analytics  2].[JobRole].&amp;[Research Director]" c="Research Director"/>
              <i n="[HR_Analytics  2].[JobRole].&amp;[Research Scientist]" c="Research Scientist"/>
              <i n="[HR_Analytics  2].[JobRole].&amp;[Sales Executive]" c="Sales Executive"/>
              <i n="[HR_Analytics  2].[JobRole].&amp;[Sales Representative]" c="Sales Representative"/>
            </range>
          </ranges>
        </level>
      </levels>
      <selections count="1">
        <selection n="[HR_Analytics  2].[JobRol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Level" xr10:uid="{0A6756E5-54F6-4C2B-80B6-7D4BBA6AD310}" sourceName="[HR_Analytics  2].[JobLevel]">
  <pivotTables>
    <pivotTable tabId="5" name="Dept By Income"/>
  </pivotTables>
  <data>
    <olap pivotCacheId="416803560">
      <levels count="2">
        <level uniqueName="[HR_Analytics  2].[JobLevel].[(All)]" sourceCaption="(All)" count="0"/>
        <level uniqueName="[HR_Analytics  2].[JobLevel].[JobLevel]" sourceCaption="JobLevel" count="5">
          <ranges>
            <range startItem="0">
              <i n="[HR_Analytics  2].[JobLevel].&amp;[1]" c="1"/>
              <i n="[HR_Analytics  2].[JobLevel].&amp;[2]" c="2"/>
              <i n="[HR_Analytics  2].[JobLevel].&amp;[3]" c="3"/>
              <i n="[HR_Analytics  2].[JobLevel].&amp;[4]" c="4"/>
              <i n="[HR_Analytics  2].[JobLevel].&amp;[5]" c="5"/>
            </range>
          </ranges>
        </level>
      </levels>
      <selections count="1">
        <selection n="[HR_Analytics  2].[JobLevel].[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arySlab" xr10:uid="{35020142-4AEA-43B0-B26F-A80679C7F253}" sourceName="[HR_Analytics  2].[SalarySlab]">
  <pivotTables>
    <pivotTable tabId="5" name="Dept By Income"/>
  </pivotTables>
  <data>
    <olap pivotCacheId="416803560">
      <levels count="2">
        <level uniqueName="[HR_Analytics  2].[SalarySlab].[(All)]" sourceCaption="(All)" count="0"/>
        <level uniqueName="[HR_Analytics  2].[SalarySlab].[SalarySlab]" sourceCaption="SalarySlab" count="4">
          <ranges>
            <range startItem="0">
              <i n="[HR_Analytics  2].[SalarySlab].&amp;[10k-15k]" c="10k-15k"/>
              <i n="[HR_Analytics  2].[SalarySlab].&amp;[15k+]" c="15k+"/>
              <i n="[HR_Analytics  2].[SalarySlab].&amp;[5k-10k]" c="5k-10k"/>
              <i n="[HR_Analytics  2].[SalarySlab].&amp;[Upto 5k]" c="Upto 5k"/>
            </range>
          </ranges>
        </level>
      </levels>
      <selections count="1">
        <selection n="[HR_Analytics  2].[SalarySlab].[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E27E3084-3C52-4D5F-972F-3DE94670540E}" sourceName="[HR_Analytics  2].[Department]">
  <pivotTables>
    <pivotTable tabId="5" name="Dept By Income"/>
  </pivotTables>
  <data>
    <olap pivotCacheId="416803560">
      <levels count="2">
        <level uniqueName="[HR_Analytics  2].[Department].[(All)]" sourceCaption="(All)" count="0"/>
        <level uniqueName="[HR_Analytics  2].[Department].[Department]" sourceCaption="Department" count="3">
          <ranges>
            <range startItem="0">
              <i n="[HR_Analytics  2].[Department].&amp;[Human Resources]" c="Human Resources"/>
              <i n="[HR_Analytics  2].[Department].&amp;[Research &amp; Development]" c="Research &amp; Development"/>
              <i n="[HR_Analytics  2].[Department].&amp;[Sales]" c="Sales"/>
            </range>
          </ranges>
        </level>
      </levels>
      <selections count="1">
        <selection n="[HR_Analytics  2].[Departme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Role" xr10:uid="{84EB0EA3-2797-42A2-8E09-A738CA13A01B}" cache="Slicer_JobRole" caption="JobRole" level="1" rowHeight="234950"/>
  <slicer name="JobLevel" xr10:uid="{18AE8B02-86EB-4D9D-9B78-9AAC84E5C309}" cache="Slicer_JobLevel" caption="JobLevel" level="1" rowHeight="234950"/>
  <slicer name="SalarySlab 1" xr10:uid="{1D5DD7DB-F750-4D0D-A2FD-374F904E0DEA}" cache="Slicer_SalarySlab" caption="SalarySlab" level="1" rowHeight="234950"/>
  <slicer name="Department 1" xr10:uid="{B1686492-BB64-445C-861B-1D6B04455F3E}" cache="Slicer_Department" caption="Department"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arySlab" xr10:uid="{001E28E0-BB8C-4B62-8A3B-BECEB8ED5FBE}" cache="Slicer_SalarySlab" caption="SalarySlab" showCaption="0" level="1" style="Slicer Style 2" rowHeight="234950"/>
  <slicer name="Department" xr10:uid="{9311EFCE-B615-4034-BACA-28280E3CAA7E}" cache="Slicer_Department" caption="Department" showCaption="0" level="1" style="Slicer Style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arySlab 2" xr10:uid="{D8E0E2AE-C845-4677-9D49-10757F3353E2}" cache="Slicer_SalarySlab" caption="SalarySlab" showCaption="0" level="1" style="Slicer Style 2" rowHeight="234950"/>
  <slicer name="Department 2" xr10:uid="{E86E455C-24AA-4394-8929-2D4EA6D9D36D}" cache="Slicer_Department" caption="Department" showCaption="0" level="1" style="Slicer Style 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arySlab 3" xr10:uid="{FAD8F3DF-F7DC-460B-BB45-5CE5FBCA3DDA}" cache="Slicer_SalarySlab" caption="SalarySlab" showCaption="0" level="1" style="Slicer Style 2" rowHeight="234950"/>
  <slicer name="Department 3" xr10:uid="{4D64BC1A-7B0A-40B3-AF23-62E2FB0FDD42}" cache="Slicer_Department" caption="Department" showCaption="0" level="1"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42"/>
  <sheetViews>
    <sheetView workbookViewId="0">
      <selection activeCell="N15" sqref="N15"/>
    </sheetView>
  </sheetViews>
  <sheetFormatPr defaultRowHeight="14.4" x14ac:dyDescent="0.3"/>
  <cols>
    <col min="1" max="1" width="3" bestFit="1" customWidth="1"/>
    <col min="2" max="2" width="22" bestFit="1" customWidth="1"/>
    <col min="3" max="3" width="35.33203125" bestFit="1" customWidth="1"/>
  </cols>
  <sheetData>
    <row r="1" spans="1:5" x14ac:dyDescent="0.3">
      <c r="D1" s="3" t="s">
        <v>79</v>
      </c>
      <c r="E1" s="3" t="s">
        <v>80</v>
      </c>
    </row>
    <row r="2" spans="1:5" x14ac:dyDescent="0.3">
      <c r="D2" s="4">
        <v>38</v>
      </c>
      <c r="E2" s="4">
        <v>1481</v>
      </c>
    </row>
    <row r="4" spans="1:5" x14ac:dyDescent="0.3">
      <c r="A4" s="1" t="s">
        <v>38</v>
      </c>
      <c r="B4" s="1" t="s">
        <v>39</v>
      </c>
      <c r="C4" s="1" t="s">
        <v>40</v>
      </c>
    </row>
    <row r="5" spans="1:5" x14ac:dyDescent="0.3">
      <c r="A5" s="2">
        <v>1</v>
      </c>
      <c r="B5" s="2" t="s">
        <v>0</v>
      </c>
      <c r="C5" s="2" t="s">
        <v>41</v>
      </c>
    </row>
    <row r="6" spans="1:5" x14ac:dyDescent="0.3">
      <c r="A6" s="2">
        <v>2</v>
      </c>
      <c r="B6" s="2" t="s">
        <v>1</v>
      </c>
      <c r="C6" s="2" t="s">
        <v>42</v>
      </c>
    </row>
    <row r="7" spans="1:5" x14ac:dyDescent="0.3">
      <c r="A7" s="2">
        <v>3</v>
      </c>
      <c r="B7" s="2" t="s">
        <v>2</v>
      </c>
      <c r="C7" s="2" t="s">
        <v>43</v>
      </c>
    </row>
    <row r="8" spans="1:5" x14ac:dyDescent="0.3">
      <c r="A8" s="2">
        <v>4</v>
      </c>
      <c r="B8" s="2" t="s">
        <v>3</v>
      </c>
      <c r="C8" s="2" t="s">
        <v>44</v>
      </c>
    </row>
    <row r="9" spans="1:5" x14ac:dyDescent="0.3">
      <c r="A9" s="2">
        <v>5</v>
      </c>
      <c r="B9" s="2" t="s">
        <v>4</v>
      </c>
      <c r="C9" s="2" t="s">
        <v>45</v>
      </c>
    </row>
    <row r="10" spans="1:5" x14ac:dyDescent="0.3">
      <c r="A10" s="2">
        <v>6</v>
      </c>
      <c r="B10" s="2" t="s">
        <v>5</v>
      </c>
      <c r="C10" s="2" t="s">
        <v>46</v>
      </c>
    </row>
    <row r="11" spans="1:5" x14ac:dyDescent="0.3">
      <c r="A11" s="2">
        <v>7</v>
      </c>
      <c r="B11" s="2" t="s">
        <v>6</v>
      </c>
      <c r="C11" s="2" t="s">
        <v>47</v>
      </c>
    </row>
    <row r="12" spans="1:5" x14ac:dyDescent="0.3">
      <c r="A12" s="2">
        <v>8</v>
      </c>
      <c r="B12" s="2" t="s">
        <v>7</v>
      </c>
      <c r="C12" s="2" t="s">
        <v>48</v>
      </c>
    </row>
    <row r="13" spans="1:5" x14ac:dyDescent="0.3">
      <c r="A13" s="2">
        <v>9</v>
      </c>
      <c r="B13" s="2" t="s">
        <v>8</v>
      </c>
      <c r="C13" s="2" t="s">
        <v>49</v>
      </c>
    </row>
    <row r="14" spans="1:5" x14ac:dyDescent="0.3">
      <c r="A14" s="2">
        <v>10</v>
      </c>
      <c r="B14" s="2" t="s">
        <v>9</v>
      </c>
      <c r="C14" s="2" t="s">
        <v>50</v>
      </c>
    </row>
    <row r="15" spans="1:5" x14ac:dyDescent="0.3">
      <c r="A15" s="2">
        <v>11</v>
      </c>
      <c r="B15" s="2" t="s">
        <v>10</v>
      </c>
      <c r="C15" s="2" t="s">
        <v>51</v>
      </c>
    </row>
    <row r="16" spans="1:5" x14ac:dyDescent="0.3">
      <c r="A16" s="2">
        <v>12</v>
      </c>
      <c r="B16" s="2" t="s">
        <v>11</v>
      </c>
      <c r="C16" s="2" t="s">
        <v>52</v>
      </c>
    </row>
    <row r="17" spans="1:3" x14ac:dyDescent="0.3">
      <c r="A17" s="2">
        <v>13</v>
      </c>
      <c r="B17" s="2" t="s">
        <v>12</v>
      </c>
      <c r="C17" s="2" t="s">
        <v>53</v>
      </c>
    </row>
    <row r="18" spans="1:3" x14ac:dyDescent="0.3">
      <c r="A18" s="2">
        <v>14</v>
      </c>
      <c r="B18" s="2" t="s">
        <v>13</v>
      </c>
      <c r="C18" s="2" t="s">
        <v>54</v>
      </c>
    </row>
    <row r="19" spans="1:3" x14ac:dyDescent="0.3">
      <c r="A19" s="2">
        <v>15</v>
      </c>
      <c r="B19" s="2" t="s">
        <v>14</v>
      </c>
      <c r="C19" s="2" t="s">
        <v>55</v>
      </c>
    </row>
    <row r="20" spans="1:3" x14ac:dyDescent="0.3">
      <c r="A20" s="2">
        <v>16</v>
      </c>
      <c r="B20" s="2" t="s">
        <v>15</v>
      </c>
      <c r="C20" s="2" t="s">
        <v>56</v>
      </c>
    </row>
    <row r="21" spans="1:3" x14ac:dyDescent="0.3">
      <c r="A21" s="2">
        <v>17</v>
      </c>
      <c r="B21" s="2" t="s">
        <v>16</v>
      </c>
      <c r="C21" s="2" t="s">
        <v>57</v>
      </c>
    </row>
    <row r="22" spans="1:3" x14ac:dyDescent="0.3">
      <c r="A22" s="2">
        <v>18</v>
      </c>
      <c r="B22" s="2" t="s">
        <v>17</v>
      </c>
      <c r="C22" s="2" t="s">
        <v>58</v>
      </c>
    </row>
    <row r="23" spans="1:3" x14ac:dyDescent="0.3">
      <c r="A23" s="2">
        <v>19</v>
      </c>
      <c r="B23" s="2" t="s">
        <v>18</v>
      </c>
      <c r="C23" s="2" t="s">
        <v>59</v>
      </c>
    </row>
    <row r="24" spans="1:3" x14ac:dyDescent="0.3">
      <c r="A24" s="2">
        <v>20</v>
      </c>
      <c r="B24" s="2" t="s">
        <v>19</v>
      </c>
      <c r="C24" s="2" t="s">
        <v>60</v>
      </c>
    </row>
    <row r="25" spans="1:3" x14ac:dyDescent="0.3">
      <c r="A25" s="2">
        <v>21</v>
      </c>
      <c r="B25" s="2" t="s">
        <v>20</v>
      </c>
      <c r="C25" s="2" t="s">
        <v>61</v>
      </c>
    </row>
    <row r="26" spans="1:3" x14ac:dyDescent="0.3">
      <c r="A26" s="2">
        <v>22</v>
      </c>
      <c r="B26" s="2" t="s">
        <v>21</v>
      </c>
      <c r="C26" s="2" t="s">
        <v>62</v>
      </c>
    </row>
    <row r="27" spans="1:3" x14ac:dyDescent="0.3">
      <c r="A27" s="2">
        <v>23</v>
      </c>
      <c r="B27" s="2" t="s">
        <v>22</v>
      </c>
      <c r="C27" s="2" t="s">
        <v>63</v>
      </c>
    </row>
    <row r="28" spans="1:3" x14ac:dyDescent="0.3">
      <c r="A28" s="2">
        <v>24</v>
      </c>
      <c r="B28" s="2" t="s">
        <v>23</v>
      </c>
      <c r="C28" s="2" t="s">
        <v>64</v>
      </c>
    </row>
    <row r="29" spans="1:3" x14ac:dyDescent="0.3">
      <c r="A29" s="2">
        <v>25</v>
      </c>
      <c r="B29" s="2" t="s">
        <v>24</v>
      </c>
      <c r="C29" s="2" t="s">
        <v>65</v>
      </c>
    </row>
    <row r="30" spans="1:3" x14ac:dyDescent="0.3">
      <c r="A30" s="2">
        <v>26</v>
      </c>
      <c r="B30" s="2" t="s">
        <v>25</v>
      </c>
      <c r="C30" s="2" t="s">
        <v>66</v>
      </c>
    </row>
    <row r="31" spans="1:3" x14ac:dyDescent="0.3">
      <c r="A31" s="2">
        <v>27</v>
      </c>
      <c r="B31" s="2" t="s">
        <v>26</v>
      </c>
      <c r="C31" s="2" t="s">
        <v>67</v>
      </c>
    </row>
    <row r="32" spans="1:3" x14ac:dyDescent="0.3">
      <c r="A32" s="2">
        <v>28</v>
      </c>
      <c r="B32" s="2" t="s">
        <v>27</v>
      </c>
      <c r="C32" s="2" t="s">
        <v>68</v>
      </c>
    </row>
    <row r="33" spans="1:3" x14ac:dyDescent="0.3">
      <c r="A33" s="2">
        <v>29</v>
      </c>
      <c r="B33" s="2" t="s">
        <v>28</v>
      </c>
      <c r="C33" s="2" t="s">
        <v>69</v>
      </c>
    </row>
    <row r="34" spans="1:3" x14ac:dyDescent="0.3">
      <c r="A34" s="2">
        <v>30</v>
      </c>
      <c r="B34" s="2" t="s">
        <v>29</v>
      </c>
      <c r="C34" s="2" t="s">
        <v>70</v>
      </c>
    </row>
    <row r="35" spans="1:3" x14ac:dyDescent="0.3">
      <c r="A35" s="2">
        <v>31</v>
      </c>
      <c r="B35" s="2" t="s">
        <v>30</v>
      </c>
      <c r="C35" s="2" t="s">
        <v>71</v>
      </c>
    </row>
    <row r="36" spans="1:3" x14ac:dyDescent="0.3">
      <c r="A36" s="2">
        <v>32</v>
      </c>
      <c r="B36" s="2" t="s">
        <v>31</v>
      </c>
      <c r="C36" s="2" t="s">
        <v>72</v>
      </c>
    </row>
    <row r="37" spans="1:3" x14ac:dyDescent="0.3">
      <c r="A37" s="2">
        <v>33</v>
      </c>
      <c r="B37" s="2" t="s">
        <v>32</v>
      </c>
      <c r="C37" s="2" t="s">
        <v>73</v>
      </c>
    </row>
    <row r="38" spans="1:3" x14ac:dyDescent="0.3">
      <c r="A38" s="2">
        <v>34</v>
      </c>
      <c r="B38" s="2" t="s">
        <v>33</v>
      </c>
      <c r="C38" s="2" t="s">
        <v>74</v>
      </c>
    </row>
    <row r="39" spans="1:3" x14ac:dyDescent="0.3">
      <c r="A39" s="2">
        <v>35</v>
      </c>
      <c r="B39" s="2" t="s">
        <v>34</v>
      </c>
      <c r="C39" s="2" t="s">
        <v>75</v>
      </c>
    </row>
    <row r="40" spans="1:3" x14ac:dyDescent="0.3">
      <c r="A40" s="2">
        <v>36</v>
      </c>
      <c r="B40" s="2" t="s">
        <v>35</v>
      </c>
      <c r="C40" s="2" t="s">
        <v>76</v>
      </c>
    </row>
    <row r="41" spans="1:3" x14ac:dyDescent="0.3">
      <c r="A41" s="2">
        <v>37</v>
      </c>
      <c r="B41" s="2" t="s">
        <v>36</v>
      </c>
      <c r="C41" s="2" t="s">
        <v>77</v>
      </c>
    </row>
    <row r="42" spans="1:3" x14ac:dyDescent="0.3">
      <c r="A42" s="2">
        <v>38</v>
      </c>
      <c r="B42" s="2" t="s">
        <v>37</v>
      </c>
      <c r="C42" s="2" t="s">
        <v>78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82F4D-E2B3-424F-8420-1D592C777CBB}">
  <dimension ref="A1:AV27"/>
  <sheetViews>
    <sheetView topLeftCell="AN1" zoomScaleNormal="100" workbookViewId="0">
      <selection activeCell="AV9" sqref="AV9"/>
    </sheetView>
  </sheetViews>
  <sheetFormatPr defaultRowHeight="14.4" x14ac:dyDescent="0.3"/>
  <cols>
    <col min="1" max="1" width="14.44140625" bestFit="1" customWidth="1"/>
    <col min="3" max="3" width="11.77734375" bestFit="1" customWidth="1"/>
    <col min="5" max="5" width="12.88671875" bestFit="1" customWidth="1"/>
    <col min="7" max="7" width="15.5546875" bestFit="1" customWidth="1"/>
    <col min="9" max="9" width="15.6640625" bestFit="1" customWidth="1"/>
    <col min="11" max="11" width="22.88671875" bestFit="1" customWidth="1"/>
    <col min="12" max="12" width="11.77734375" bestFit="1" customWidth="1"/>
    <col min="14" max="14" width="21.88671875" bestFit="1" customWidth="1"/>
    <col min="15" max="15" width="15.6640625" bestFit="1" customWidth="1"/>
    <col min="17" max="17" width="22.88671875" bestFit="1" customWidth="1"/>
    <col min="18" max="18" width="12.88671875" bestFit="1" customWidth="1"/>
    <col min="20" max="20" width="21.88671875" bestFit="1" customWidth="1"/>
    <col min="21" max="21" width="15.5546875" bestFit="1" customWidth="1"/>
    <col min="24" max="24" width="21.88671875" bestFit="1" customWidth="1"/>
    <col min="25" max="26" width="23" bestFit="1" customWidth="1"/>
    <col min="27" max="27" width="21.88671875" bestFit="1" customWidth="1"/>
    <col min="28" max="29" width="11.77734375" bestFit="1" customWidth="1"/>
    <col min="30" max="30" width="21.88671875" bestFit="1" customWidth="1"/>
    <col min="31" max="31" width="27.21875" bestFit="1" customWidth="1"/>
    <col min="32" max="32" width="2" bestFit="1" customWidth="1"/>
    <col min="33" max="33" width="10.77734375" bestFit="1" customWidth="1"/>
    <col min="34" max="34" width="21.88671875" bestFit="1" customWidth="1"/>
    <col min="35" max="35" width="12.88671875" bestFit="1" customWidth="1"/>
    <col min="36" max="36" width="11.77734375" bestFit="1" customWidth="1"/>
    <col min="39" max="39" width="25.44140625" bestFit="1" customWidth="1"/>
    <col min="40" max="40" width="22.21875" bestFit="1" customWidth="1"/>
    <col min="41" max="41" width="19" bestFit="1" customWidth="1"/>
    <col min="42" max="42" width="11.77734375" bestFit="1" customWidth="1"/>
    <col min="43" max="43" width="22.5546875" bestFit="1" customWidth="1"/>
    <col min="44" max="44" width="13.33203125" bestFit="1" customWidth="1"/>
    <col min="45" max="45" width="11.77734375" bestFit="1" customWidth="1"/>
    <col min="47" max="47" width="10.88671875" bestFit="1" customWidth="1"/>
    <col min="48" max="48" width="11.77734375" bestFit="1" customWidth="1"/>
    <col min="49" max="49" width="12.88671875" bestFit="1" customWidth="1"/>
  </cols>
  <sheetData>
    <row r="1" spans="1:48" x14ac:dyDescent="0.3">
      <c r="A1" t="s">
        <v>81</v>
      </c>
      <c r="C1" t="s">
        <v>82</v>
      </c>
      <c r="E1" t="s">
        <v>94</v>
      </c>
      <c r="G1" t="s">
        <v>95</v>
      </c>
      <c r="I1" t="s">
        <v>96</v>
      </c>
      <c r="K1" s="7" t="s">
        <v>17</v>
      </c>
      <c r="L1" t="s">
        <v>82</v>
      </c>
      <c r="N1" s="7" t="s">
        <v>6</v>
      </c>
      <c r="O1" t="s">
        <v>96</v>
      </c>
      <c r="Q1" s="7" t="s">
        <v>17</v>
      </c>
      <c r="R1" t="s">
        <v>94</v>
      </c>
      <c r="T1" s="7" t="s">
        <v>6</v>
      </c>
      <c r="U1" t="s">
        <v>95</v>
      </c>
    </row>
    <row r="2" spans="1:48" x14ac:dyDescent="0.3">
      <c r="A2" s="6">
        <v>1480</v>
      </c>
      <c r="C2" s="10">
        <v>0.16081081081081081</v>
      </c>
      <c r="E2" s="10">
        <v>0.28243243243243243</v>
      </c>
      <c r="G2" s="9">
        <v>2.7297297297297298</v>
      </c>
      <c r="I2" s="8">
        <v>6504.985810810811</v>
      </c>
      <c r="K2" s="11" t="s">
        <v>89</v>
      </c>
      <c r="L2" s="15">
        <v>6.8181818181818177E-2</v>
      </c>
      <c r="N2" s="11" t="s">
        <v>85</v>
      </c>
      <c r="O2" s="8">
        <v>6654.5079365079364</v>
      </c>
      <c r="Q2" s="11" t="s">
        <v>89</v>
      </c>
      <c r="R2" s="10">
        <v>0.28030303030303028</v>
      </c>
      <c r="T2" s="11" t="s">
        <v>85</v>
      </c>
      <c r="U2" s="9">
        <v>2.7738095238095237</v>
      </c>
      <c r="X2" s="7" t="s">
        <v>6</v>
      </c>
      <c r="Y2" t="s">
        <v>100</v>
      </c>
    </row>
    <row r="3" spans="1:48" x14ac:dyDescent="0.3">
      <c r="K3" s="11" t="s">
        <v>85</v>
      </c>
      <c r="L3" s="15">
        <v>0.23076923076923078</v>
      </c>
      <c r="N3" s="11" t="s">
        <v>83</v>
      </c>
      <c r="O3" s="8">
        <v>6280.3650465356777</v>
      </c>
      <c r="Q3" s="11" t="s">
        <v>85</v>
      </c>
      <c r="R3" s="10">
        <v>0.25</v>
      </c>
      <c r="T3" s="11" t="s">
        <v>83</v>
      </c>
      <c r="U3" s="9">
        <v>2.7238883143743537</v>
      </c>
      <c r="X3" s="11" t="s">
        <v>85</v>
      </c>
      <c r="Y3" s="8">
        <v>75932</v>
      </c>
      <c r="AO3" s="7" t="s">
        <v>106</v>
      </c>
      <c r="AP3" t="s">
        <v>82</v>
      </c>
      <c r="AR3" s="7" t="s">
        <v>105</v>
      </c>
      <c r="AS3" t="s">
        <v>82</v>
      </c>
      <c r="AU3" s="7" t="s">
        <v>25</v>
      </c>
      <c r="AV3" t="s">
        <v>82</v>
      </c>
    </row>
    <row r="4" spans="1:48" x14ac:dyDescent="0.3">
      <c r="K4" s="11" t="s">
        <v>84</v>
      </c>
      <c r="L4" s="15">
        <v>0.23754789272030652</v>
      </c>
      <c r="N4" s="11" t="s">
        <v>86</v>
      </c>
      <c r="O4" s="8">
        <v>6966.7377777777774</v>
      </c>
      <c r="Q4" s="11" t="s">
        <v>84</v>
      </c>
      <c r="R4" s="10">
        <v>0.23754789272030652</v>
      </c>
      <c r="T4" s="11" t="s">
        <v>86</v>
      </c>
      <c r="U4" s="9">
        <v>2.7361111111111112</v>
      </c>
      <c r="X4" s="11" t="s">
        <v>83</v>
      </c>
      <c r="Y4" s="8">
        <v>979616</v>
      </c>
      <c r="AA4" s="7" t="s">
        <v>6</v>
      </c>
      <c r="AB4" t="s">
        <v>82</v>
      </c>
      <c r="AD4" s="7" t="s">
        <v>6</v>
      </c>
      <c r="AE4" t="s">
        <v>102</v>
      </c>
      <c r="AH4" s="7" t="s">
        <v>6</v>
      </c>
      <c r="AI4" t="s">
        <v>94</v>
      </c>
      <c r="AJ4" t="s">
        <v>82</v>
      </c>
      <c r="AO4" s="11">
        <v>0</v>
      </c>
      <c r="AP4" s="16">
        <v>0.24213836477987422</v>
      </c>
      <c r="AR4" s="11">
        <v>1</v>
      </c>
      <c r="AS4" s="16">
        <v>0.26238532110091745</v>
      </c>
      <c r="AU4" s="11" t="s">
        <v>101</v>
      </c>
      <c r="AV4" s="16">
        <v>0.10357815442561205</v>
      </c>
    </row>
    <row r="5" spans="1:48" x14ac:dyDescent="0.3">
      <c r="A5">
        <f>GETPIVOTDATA("[Measures].[TotalEmlpoyees]",$A$1)</f>
        <v>1480</v>
      </c>
      <c r="C5" s="14">
        <f>GETPIVOTDATA("[Measures].[AttritionRate]",$C$1)</f>
        <v>0.16081081081081081</v>
      </c>
      <c r="E5" s="14">
        <f>GETPIVOTDATA("[Measures].[OverTimeRate]",$E$1)</f>
        <v>0.28243243243243243</v>
      </c>
      <c r="G5" s="9">
        <f>GETPIVOTDATA("[Measures].[SatisfactionScore]",$G$1)</f>
        <v>2.7297297297297298</v>
      </c>
      <c r="I5" s="6">
        <f>GETPIVOTDATA("[Measures].[MonthelyIncome]",$I$1)</f>
        <v>6504.985810810811</v>
      </c>
      <c r="K5" s="11" t="s">
        <v>92</v>
      </c>
      <c r="L5" s="15">
        <v>4.9019607843137254E-2</v>
      </c>
      <c r="N5" s="11" t="s">
        <v>97</v>
      </c>
      <c r="O5" s="8">
        <v>6504.985810810811</v>
      </c>
      <c r="Q5" s="11" t="s">
        <v>92</v>
      </c>
      <c r="R5" s="10">
        <v>0.26470588235294118</v>
      </c>
      <c r="T5" s="11" t="s">
        <v>97</v>
      </c>
      <c r="U5" s="9">
        <v>2.7297297297297298</v>
      </c>
      <c r="X5" s="11" t="s">
        <v>86</v>
      </c>
      <c r="Y5" s="8">
        <v>471606</v>
      </c>
      <c r="AA5" s="11" t="s">
        <v>85</v>
      </c>
      <c r="AB5" s="10">
        <v>0.19047619047619047</v>
      </c>
      <c r="AD5" s="11" t="s">
        <v>85</v>
      </c>
      <c r="AE5" s="8">
        <v>3.1428571428571428</v>
      </c>
      <c r="AH5" s="11" t="s">
        <v>85</v>
      </c>
      <c r="AI5" s="10">
        <v>0.26984126984126983</v>
      </c>
      <c r="AJ5" s="10">
        <v>0.19047619047619047</v>
      </c>
      <c r="AM5" t="s">
        <v>103</v>
      </c>
      <c r="AO5" s="11">
        <v>1</v>
      </c>
      <c r="AP5" s="16">
        <v>9.4841930116472545E-2</v>
      </c>
      <c r="AR5" s="11">
        <v>2</v>
      </c>
      <c r="AS5" s="16">
        <v>9.6474953617810763E-2</v>
      </c>
      <c r="AU5" s="11" t="s">
        <v>99</v>
      </c>
      <c r="AV5" s="16">
        <v>0.30622009569377989</v>
      </c>
    </row>
    <row r="6" spans="1:48" x14ac:dyDescent="0.3">
      <c r="C6" s="13">
        <v>1</v>
      </c>
      <c r="E6" s="12">
        <v>1</v>
      </c>
      <c r="G6">
        <v>4</v>
      </c>
      <c r="K6" s="11" t="s">
        <v>91</v>
      </c>
      <c r="L6" s="15">
        <v>6.8027210884353748E-2</v>
      </c>
      <c r="Q6" s="11" t="s">
        <v>91</v>
      </c>
      <c r="R6" s="10">
        <v>0.27210884353741499</v>
      </c>
      <c r="X6" s="11" t="s">
        <v>97</v>
      </c>
      <c r="Y6" s="8">
        <v>1527154</v>
      </c>
      <c r="AA6" s="11" t="s">
        <v>83</v>
      </c>
      <c r="AB6" s="10">
        <v>0.13753877973112719</v>
      </c>
      <c r="AD6" s="11" t="s">
        <v>83</v>
      </c>
      <c r="AE6" s="8">
        <v>3.1623578076525338</v>
      </c>
      <c r="AH6" s="11" t="s">
        <v>83</v>
      </c>
      <c r="AI6" s="10">
        <v>0.28128231644260598</v>
      </c>
      <c r="AJ6" s="10">
        <v>0.13753877973112719</v>
      </c>
      <c r="AM6" s="9">
        <v>7.0094594594594595</v>
      </c>
      <c r="AO6" s="11">
        <v>2</v>
      </c>
      <c r="AP6" s="16">
        <v>7.5949367088607597E-2</v>
      </c>
      <c r="AR6" s="11">
        <v>3</v>
      </c>
      <c r="AS6" s="16">
        <v>0.15</v>
      </c>
      <c r="AU6" s="11" t="s">
        <v>97</v>
      </c>
      <c r="AV6" s="16">
        <v>0.16081081081081081</v>
      </c>
    </row>
    <row r="7" spans="1:48" x14ac:dyDescent="0.3">
      <c r="A7" t="s">
        <v>99</v>
      </c>
      <c r="K7" s="11" t="s">
        <v>93</v>
      </c>
      <c r="L7" s="15">
        <v>2.5000000000000001E-2</v>
      </c>
      <c r="Q7" s="11" t="s">
        <v>93</v>
      </c>
      <c r="R7" s="10">
        <v>0.28749999999999998</v>
      </c>
      <c r="AA7" s="11" t="s">
        <v>86</v>
      </c>
      <c r="AB7" s="10">
        <v>0.20666666666666667</v>
      </c>
      <c r="AD7" s="11" t="s">
        <v>86</v>
      </c>
      <c r="AE7" s="8">
        <v>3.1355555555555554</v>
      </c>
      <c r="AH7" s="11" t="s">
        <v>86</v>
      </c>
      <c r="AI7" s="10">
        <v>0.28666666666666668</v>
      </c>
      <c r="AJ7" s="10">
        <v>0.20666666666666667</v>
      </c>
      <c r="AO7" s="11">
        <v>3</v>
      </c>
      <c r="AP7" s="16">
        <v>0.17647058823529413</v>
      </c>
      <c r="AR7" s="11">
        <v>4</v>
      </c>
      <c r="AS7" s="16">
        <v>4.6728971962616821E-2</v>
      </c>
    </row>
    <row r="8" spans="1:48" x14ac:dyDescent="0.3">
      <c r="C8" t="s">
        <v>99</v>
      </c>
      <c r="E8" t="s">
        <v>99</v>
      </c>
      <c r="G8" t="s">
        <v>99</v>
      </c>
      <c r="K8" s="11" t="s">
        <v>88</v>
      </c>
      <c r="L8" s="15">
        <v>0.16040955631399317</v>
      </c>
      <c r="Q8" s="11" t="s">
        <v>88</v>
      </c>
      <c r="R8" s="10">
        <v>0.33105802047781568</v>
      </c>
      <c r="T8" s="11" t="s">
        <v>99</v>
      </c>
      <c r="AA8" s="11" t="s">
        <v>97</v>
      </c>
      <c r="AB8" s="10">
        <v>0.16081081081081081</v>
      </c>
      <c r="AD8" s="11" t="s">
        <v>97</v>
      </c>
      <c r="AE8" s="8">
        <v>3.1533783783783784</v>
      </c>
      <c r="AH8" s="11" t="s">
        <v>97</v>
      </c>
      <c r="AI8" s="10">
        <v>0.28243243243243243</v>
      </c>
      <c r="AJ8" s="10">
        <v>0.16081081081081081</v>
      </c>
      <c r="AM8" s="6">
        <f>GETPIVOTDATA("[Measures].[Average of YearsAtCompany]",$AM$5)</f>
        <v>7.0094594594594595</v>
      </c>
      <c r="AO8" s="11" t="s">
        <v>97</v>
      </c>
      <c r="AP8" s="16">
        <v>0.16081081081081081</v>
      </c>
      <c r="AR8" s="11">
        <v>5</v>
      </c>
      <c r="AS8" s="16">
        <v>7.2463768115942032E-2</v>
      </c>
    </row>
    <row r="9" spans="1:48" x14ac:dyDescent="0.3">
      <c r="I9" t="s">
        <v>99</v>
      </c>
      <c r="K9" s="11" t="s">
        <v>90</v>
      </c>
      <c r="L9" s="15">
        <v>0.17629179331306991</v>
      </c>
      <c r="Q9" s="11" t="s">
        <v>90</v>
      </c>
      <c r="R9" s="10">
        <v>0.28875379939209728</v>
      </c>
      <c r="AR9" s="11" t="s">
        <v>97</v>
      </c>
      <c r="AS9" s="16">
        <v>0.16081081081081081</v>
      </c>
    </row>
    <row r="10" spans="1:48" x14ac:dyDescent="0.3">
      <c r="K10" s="11" t="s">
        <v>87</v>
      </c>
      <c r="L10" s="15">
        <v>0.39285714285714285</v>
      </c>
      <c r="N10" t="s">
        <v>99</v>
      </c>
      <c r="Q10" s="11" t="s">
        <v>87</v>
      </c>
      <c r="R10" s="10">
        <v>0.2857142857142857</v>
      </c>
      <c r="Y10" t="s">
        <v>99</v>
      </c>
    </row>
    <row r="11" spans="1:48" x14ac:dyDescent="0.3">
      <c r="K11" s="11" t="s">
        <v>97</v>
      </c>
      <c r="L11" s="15">
        <v>0.16081081081081081</v>
      </c>
      <c r="Q11" s="11" t="s">
        <v>97</v>
      </c>
      <c r="R11" s="10">
        <v>0.28243243243243243</v>
      </c>
      <c r="AA11" s="11" t="s">
        <v>99</v>
      </c>
    </row>
    <row r="12" spans="1:48" x14ac:dyDescent="0.3">
      <c r="AE12" t="s">
        <v>104</v>
      </c>
      <c r="AM12" t="s">
        <v>104</v>
      </c>
      <c r="AO12" t="s">
        <v>99</v>
      </c>
      <c r="AS12" t="s">
        <v>99</v>
      </c>
    </row>
    <row r="13" spans="1:48" x14ac:dyDescent="0.3">
      <c r="AI13" t="s">
        <v>104</v>
      </c>
    </row>
    <row r="14" spans="1:48" x14ac:dyDescent="0.3">
      <c r="K14" s="11" t="s">
        <v>99</v>
      </c>
      <c r="Q14" t="s">
        <v>17</v>
      </c>
      <c r="R14" t="s">
        <v>94</v>
      </c>
    </row>
    <row r="15" spans="1:48" x14ac:dyDescent="0.3">
      <c r="Q15" t="s">
        <v>89</v>
      </c>
      <c r="R15" s="12">
        <f>GETPIVOTDATA("[Measures].[OverTimeRate]",$Q$1,"[HR_Analytics  2].[JobRole]","[HR_Analytics  2].[JobRole].&amp;[Healthcare Representative]")</f>
        <v>0.28030303030303028</v>
      </c>
    </row>
    <row r="16" spans="1:48" x14ac:dyDescent="0.3">
      <c r="Q16" t="s">
        <v>85</v>
      </c>
      <c r="R16" s="12">
        <v>0.25</v>
      </c>
    </row>
    <row r="17" spans="17:18" x14ac:dyDescent="0.3">
      <c r="Q17" t="s">
        <v>84</v>
      </c>
      <c r="R17" s="12">
        <v>0.23754789272030652</v>
      </c>
    </row>
    <row r="18" spans="17:18" x14ac:dyDescent="0.3">
      <c r="Q18" t="s">
        <v>92</v>
      </c>
      <c r="R18" s="12">
        <v>0.26470588235294118</v>
      </c>
    </row>
    <row r="19" spans="17:18" x14ac:dyDescent="0.3">
      <c r="Q19" t="s">
        <v>91</v>
      </c>
      <c r="R19" s="12">
        <v>0.27210884353741499</v>
      </c>
    </row>
    <row r="20" spans="17:18" x14ac:dyDescent="0.3">
      <c r="Q20" t="s">
        <v>93</v>
      </c>
      <c r="R20" s="12">
        <v>0.28749999999999998</v>
      </c>
    </row>
    <row r="21" spans="17:18" x14ac:dyDescent="0.3">
      <c r="Q21" t="s">
        <v>88</v>
      </c>
      <c r="R21" s="12">
        <v>0.33105802047781568</v>
      </c>
    </row>
    <row r="22" spans="17:18" x14ac:dyDescent="0.3">
      <c r="Q22" t="s">
        <v>90</v>
      </c>
      <c r="R22" s="12">
        <v>0.28875379939209728</v>
      </c>
    </row>
    <row r="23" spans="17:18" x14ac:dyDescent="0.3">
      <c r="Q23" t="s">
        <v>87</v>
      </c>
      <c r="R23" s="12">
        <v>0.2857142857142857</v>
      </c>
    </row>
    <row r="24" spans="17:18" x14ac:dyDescent="0.3">
      <c r="Q24" t="s">
        <v>97</v>
      </c>
      <c r="R24" s="12">
        <v>0.28243243243243243</v>
      </c>
    </row>
    <row r="27" spans="17:18" x14ac:dyDescent="0.3">
      <c r="Q27" t="s">
        <v>99</v>
      </c>
    </row>
  </sheetData>
  <conditionalFormatting sqref="A1:XFD1 A126:XFD1048576 A6:X6 AA5:AA8 AC10:AO14 A7:Z9 A10:AA14 AD5:AD8 AG5 AC9:AD9 AH9:AL9 AH5:AH8 AA3:AN4 AK5:AL8 AM7:AM9 AM5:AO5 AT10:XFD13 AR10:AR13 AR5 AO3:AS3 A15:AO125 AQ34:XFD125 AR14:XFD33 AT3:AT9 AU5 AU3:XFD3 AX4:XFD9 P2:XFD2 A2:N5 P3:X5">
    <cfRule type="cellIs" dxfId="9" priority="1" operator="equal">
      <formula>$I$9</formula>
    </cfRule>
    <cfRule type="cellIs" dxfId="8" priority="2" operator="equal">
      <formula>"""Yes"""</formula>
    </cfRule>
  </conditionalFormatting>
  <pageMargins left="0.7" right="0.7" top="0.75" bottom="0.75" header="0.3" footer="0.3"/>
  <pageSetup orientation="portrait" r:id="rId18"/>
  <drawing r:id="rId19"/>
  <extLst>
    <ext xmlns:x14="http://schemas.microsoft.com/office/spreadsheetml/2009/9/main" uri="{A8765BA9-456A-4dab-B4F3-ACF838C121DE}">
      <x14:slicerList>
        <x14:slicer r:id="rId2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D0AA0-CC0A-4E84-B9B1-CD99DBEBCAEB}">
  <dimension ref="A1"/>
  <sheetViews>
    <sheetView topLeftCell="A2" workbookViewId="0"/>
  </sheetViews>
  <sheetFormatPr defaultRowHeight="14.4" x14ac:dyDescent="0.3"/>
  <cols>
    <col min="1" max="16384" width="8.8867187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F7DA9-B3BB-4523-8843-A6F1EDFF8690}">
  <dimension ref="A1"/>
  <sheetViews>
    <sheetView tabSelected="1" workbookViewId="0"/>
  </sheetViews>
  <sheetFormatPr defaultRowHeight="14.4" x14ac:dyDescent="0.3"/>
  <cols>
    <col min="1" max="16384" width="8.8867187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CBC1C-F30A-4DDC-BC0B-B6CD4DF303F6}">
  <dimension ref="A1:A23"/>
  <sheetViews>
    <sheetView zoomScale="95" zoomScaleNormal="95" workbookViewId="0"/>
  </sheetViews>
  <sheetFormatPr defaultRowHeight="14.4" x14ac:dyDescent="0.3"/>
  <cols>
    <col min="1" max="16384" width="8.88671875" style="5"/>
  </cols>
  <sheetData>
    <row r="1" spans="1:1" x14ac:dyDescent="0.3">
      <c r="A1" s="5" t="e" vm="1">
        <v>#VALUE!</v>
      </c>
    </row>
    <row r="9" spans="1:1" x14ac:dyDescent="0.3">
      <c r="A9" s="5" t="s">
        <v>98</v>
      </c>
    </row>
    <row r="15" spans="1:1" x14ac:dyDescent="0.3">
      <c r="A15" s="5" t="e" vm="1">
        <v>#VALUE!</v>
      </c>
    </row>
    <row r="23" spans="1:1" x14ac:dyDescent="0.3">
      <c r="A23" s="5" t="e" vm="1">
        <v>#VALUE!</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78EF0CC-2D78-4B19-975A-92818EA888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Meta_Data</vt:lpstr>
      <vt:lpstr>Pivot_Table</vt:lpstr>
      <vt:lpstr>OverView</vt:lpstr>
      <vt:lpstr> Department</vt:lpstr>
      <vt:lpstr>Employee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MacTech</dc:creator>
  <cp:lastModifiedBy>Hozifa Alzohare</cp:lastModifiedBy>
  <dcterms:created xsi:type="dcterms:W3CDTF">2015-06-05T18:17:20Z</dcterms:created>
  <dcterms:modified xsi:type="dcterms:W3CDTF">2026-09-07T04:27:33Z</dcterms:modified>
</cp:coreProperties>
</file>